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a97f38888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e4e98a3ab44f5e"/>
    <x:sheet xmlns:r="http://schemas.openxmlformats.org/officeDocument/2006/relationships" name="Included_papers" sheetId="2" r:id="R8bd182c4e476401d"/>
    <x:sheet xmlns:r="http://schemas.openxmlformats.org/officeDocument/2006/relationships" name="Audit_queue" sheetId="3" r:id="R52ecad6aaf8b4895"/>
    <x:sheet xmlns:r="http://schemas.openxmlformats.org/officeDocument/2006/relationships" name="Methods_scope" sheetId="4" r:id="R5f1ed8c0d1fc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A441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D9F0EC"/>
      </x:patternFill>
    </x:fill>
    <x:fill>
      <x:patternFill patternType="solid">
        <x:fgColor rgb="FFF7EED5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F766E"/>
      </x:font>
      <x:fill>
        <x:patternFill patternType="solid">
          <x:bgColor rgb="FFD9F0EC"/>
        </x:patternFill>
      </x:fill>
    </x:dxf>
    <x:dxf>
      <x:font>
        <x:b/>
        <x:color rgb="FF8A5A00"/>
      </x:font>
      <x:fill>
        <x:patternFill patternType="solid">
          <x:bgColor rgb="FFF7EED5"/>
        </x:patternFill>
      </x:fill>
    </x:dxf>
    <x:dxf>
      <x:font>
        <x:color rgb="FF991B1B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80a0623c24e6a" /><Relationship Type="http://schemas.openxmlformats.org/officeDocument/2006/relationships/theme" Target="/xl/theme/theme1.xml" Id="R068d47cbc1b44db1" /><Relationship Type="http://schemas.openxmlformats.org/officeDocument/2006/relationships/sharedStrings" Target="/xl/sharedStrings.xml" Id="Rad13bc47623b41be" /><Relationship Type="http://schemas.openxmlformats.org/officeDocument/2006/relationships/worksheet" Target="/xl/worksheets/sheet1.xml" Id="Rdae4e98a3ab44f5e" /><Relationship Type="http://schemas.openxmlformats.org/officeDocument/2006/relationships/worksheet" Target="/xl/worksheets/sheet2.xml" Id="R8bd182c4e476401d" /><Relationship Type="http://schemas.openxmlformats.org/officeDocument/2006/relationships/worksheet" Target="/xl/worksheets/sheet3.xml" Id="R52ecad6aaf8b4895" /><Relationship Type="http://schemas.openxmlformats.org/officeDocument/2006/relationships/worksheet" Target="/xl/worksheets/sheet4.xml" Id="R5f1ed8c0d1fc4c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a2a6902a574f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Included papers by context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Included papers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a2a6902a574f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cludedPapersTable" displayName="IncludedPapersTable" ref="A1:Q144" headerRowCount="1">
  <x:tableColumns count="17">
    <x:tableColumn id="1" name="Context"/>
    <x:tableColumn id="2" name="Tissue / disease"/>
    <x:tableColumn id="3" name="Species"/>
    <x:tableColumn id="4" name="First author"/>
    <x:tableColumn id="5" name="Year"/>
    <x:tableColumn id="6" name="Title"/>
    <x:tableColumn id="7" name="Journal"/>
    <x:tableColumn id="8" name="Transcriptomic design"/>
    <x:tableColumn id="9" name="Framework type"/>
    <x:tableColumn id="10" name="No. subtypes"/>
    <x:tableColumn id="11" name="Subtype labels / framework"/>
    <x:tableColumn id="12" name="Access grade"/>
    <x:tableColumn id="13" name="Gene-set retrieval route"/>
    <x:tableColumn id="14" name="Exact resource / audit note"/>
    <x:tableColumn id="15" name="DOI"/>
    <x:tableColumn id="16" name="Source URL"/>
    <x:tableColumn id="17" name="Audit status"/>
  </x:tableColumns>
  <x:tableStyleInfo name="TableStyleMedium2" showRowStripes="1"/>
</x:table>
</file>

<file path=xl/tables/table2.xml><?xml version="1.0" encoding="utf-8"?>
<x:table xmlns:x="http://schemas.openxmlformats.org/spreadsheetml/2006/main" id="2" name="AuditQueueTable" displayName="AuditQueueTable" ref="A1:H23" headerRowCount="1">
  <x:tableColumns count="8">
    <x:tableColumn id="1" name="Status"/>
    <x:tableColumn id="2" name="Tissue / disease"/>
    <x:tableColumn id="3" name="First author"/>
    <x:tableColumn id="4" name="Year"/>
    <x:tableColumn id="5" name="Title"/>
    <x:tableColumn id="6" name="Reason / action"/>
    <x:tableColumn id="7" name="DOI"/>
    <x:tableColumn id="8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5b8404b73942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438e6d2183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975d4480dd4d3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0" t="str">
        <x:v>Transcriptomic fibroblast and stromal subtype literature map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4">
      <x:c r="A4" s="56" t="str">
        <x:v>Metric</x:v>
      </x:c>
      <x:c r="B4" s="56" t="str">
        <x:v>Value</x:v>
      </x:c>
      <x:c r="D4" s="68" t="str">
        <x:v>Context</x:v>
      </x:c>
      <x:c r="E4" s="68" t="str">
        <x:v>Included papers</x:v>
      </x:c>
    </x:row>
    <x:row r="5">
      <x:c r="A5" s="60" t="str">
        <x:v>Included papers</x:v>
      </x:c>
      <x:c r="B5" s="64" t="n">
        <x:f>COUNTA(Included_papers!F2:F144)</x:f>
        <x:v>143</x:v>
      </x:c>
      <x:c r="D5" s="71" t="str">
        <x:v>Cancer</x:v>
      </x:c>
      <x:c r="E5" s="75" t="n">
        <x:f>COUNTIF(Included_papers!A2:A144,D5)</x:f>
        <x:v>64</x:v>
      </x:c>
    </x:row>
    <x:row r="6">
      <x:c r="A6" s="60" t="str">
        <x:v>Access grade A</x:v>
      </x:c>
      <x:c r="B6" s="64" t="n">
        <x:f>COUNTIF(Included_papers!L2:L144,"A")</x:f>
        <x:v>118</x:v>
      </x:c>
      <x:c r="D6" s="71" t="str">
        <x:v>Non-cancer</x:v>
      </x:c>
      <x:c r="E6" s="75" t="n">
        <x:f>COUNTIF(Included_papers!A2:A144,D6)</x:f>
        <x:v>71</x:v>
      </x:c>
    </x:row>
    <x:row r="7">
      <x:c r="A7" s="60" t="str">
        <x:v>Access grade B</x:v>
      </x:c>
      <x:c r="B7" s="64" t="n">
        <x:f>COUNTIF(Included_papers!L2:L144,"B")</x:f>
        <x:v>25</x:v>
      </x:c>
      <x:c r="D7" s="71" t="str">
        <x:v>Mixed / cross-tissue</x:v>
      </x:c>
      <x:c r="E7" s="75" t="n">
        <x:f>COUNTIF(Included_papers!A2:A144,D7)</x:f>
        <x:v>7</x:v>
      </x:c>
    </x:row>
    <x:row r="8">
      <x:c r="A8" s="60" t="str">
        <x:v>Audit / exclusion queue</x:v>
      </x:c>
      <x:c r="B8" s="64" t="n">
        <x:f>COUNTA(Audit_queue!E2:E23)</x:f>
        <x:v>22</x:v>
      </x:c>
      <x:c r="D8" s="71" t="str">
        <x:v>Mixed / disease progression</x:v>
      </x:c>
      <x:c r="E8" s="75" t="n">
        <x:f>COUNTIF(Included_papers!A2:A144,D8)</x:f>
        <x:v>1</x:v>
      </x:c>
    </x:row>
    <x:row r="11">
      <x:c r="A11" s="55" t="str">
        <x:v>Framework type</x:v>
      </x:c>
      <x:c r="B11" s="55" t="str">
        <x:v>Count</x:v>
      </x:c>
      <x:c r="D11" s="83" t="str">
        <x:v>Interpretation
The Included_papers sheet is the working bibliography. Grade A rows expose a direct marker/signature resource; Grade B rows are still usable but need extraction from processed objects or cluster-level tables.
The Audit_queue is deliberately retained because the phrase 'stroma subtype' can include secondary taxonomies, patient-level classifications and incidental atlas clusters. Those are not silently mixed with verified reusable fibroblast taxonomies.</x:v>
      </x:c>
      <x:c r="E11" s="83"/>
      <x:c r="F11" s="83"/>
      <x:c r="G11" s="83"/>
      <x:c r="H11" s="83"/>
    </x:row>
    <x:row r="12">
      <x:c r="A12" s="36" t="str">
        <x:v>Explicit subtype framework</x:v>
      </x:c>
      <x:c r="B12" s="78" t="n">
        <x:f>COUNTIF(Included_papers!I2:I144,A12)</x:f>
        <x:v>79</x:v>
      </x:c>
      <x:c r="D12" s="83"/>
      <x:c r="E12" s="83"/>
      <x:c r="F12" s="83"/>
      <x:c r="G12" s="83"/>
      <x:c r="H12" s="83"/>
    </x:row>
    <x:row r="13">
      <x:c r="A13" s="36" t="str">
        <x:v>Pan-cancer taxonomy</x:v>
      </x:c>
      <x:c r="B13" s="78" t="n">
        <x:f>COUNTIF(Included_papers!I2:I144,A13)</x:f>
        <x:v>6</x:v>
      </x:c>
      <x:c r="D13" s="83"/>
      <x:c r="E13" s="83"/>
      <x:c r="F13" s="83"/>
      <x:c r="G13" s="83"/>
      <x:c r="H13" s="83"/>
    </x:row>
    <x:row r="14">
      <x:c r="A14" s="36" t="str">
        <x:v>Cross-tissue atlas</x:v>
      </x:c>
      <x:c r="B14" s="78" t="n">
        <x:f>COUNTIF(Included_papers!I2:I144,A14)</x:f>
        <x:v>6</x:v>
      </x:c>
      <x:c r="D14" s="83"/>
      <x:c r="E14" s="83"/>
      <x:c r="F14" s="83"/>
      <x:c r="G14" s="83"/>
      <x:c r="H14" s="83"/>
    </x:row>
    <x:row r="15">
      <x:c r="A15" s="36" t="str">
        <x:v>Atlas-derived taxonomy</x:v>
      </x:c>
      <x:c r="B15" s="78" t="n">
        <x:f>COUNTIF(Included_papers!I2:I144,A15)</x:f>
        <x:v>34</x:v>
      </x:c>
      <x:c r="D15" s="83"/>
      <x:c r="E15" s="83"/>
      <x:c r="F15" s="83"/>
      <x:c r="G15" s="83"/>
      <x:c r="H15" s="83"/>
    </x:row>
    <x:row r="16">
      <x:c r="A16" s="36" t="str">
        <x:v>Bulk purified-cell taxonomy</x:v>
      </x:c>
      <x:c r="B16" s="78" t="n">
        <x:f>COUNTIF(Included_papers!I2:I144,A16)</x:f>
        <x:v>3</x:v>
      </x:c>
      <x:c r="D16" s="83"/>
      <x:c r="E16" s="83"/>
      <x:c r="F16" s="83"/>
      <x:c r="G16" s="83"/>
      <x:c r="H16" s="83"/>
    </x:row>
    <x:row r="17">
      <x:c r="A17" s="36" t="str">
        <x:v>Disease atlas</x:v>
      </x:c>
      <x:c r="B17" s="78" t="n">
        <x:f>COUNTIF(Included_papers!I2:I144,A17)</x:f>
        <x:v>4</x:v>
      </x:c>
      <x:c r="D17" s="83"/>
      <x:c r="E17" s="83"/>
      <x:c r="F17" s="83"/>
      <x:c r="G17" s="83"/>
      <x:c r="H17" s="83"/>
    </x:row>
    <x:row r="18">
      <x:c r="A18" s="36" t="str">
        <x:v>Developmental atlas</x:v>
      </x:c>
      <x:c r="B18" s="78" t="n">
        <x:f>COUNTIF(Included_papers!I2:I144,A18)</x:f>
        <x:v>3</x:v>
      </x:c>
      <x:c r="D18" s="83"/>
      <x:c r="E18" s="83"/>
      <x:c r="F18" s="83"/>
      <x:c r="G18" s="83"/>
      <x:c r="H18" s="83"/>
    </x:row>
    <x:row r="19">
      <x:c r="A19" s="36" t="str">
        <x:v>Injury atlas</x:v>
      </x:c>
      <x:c r="B19" s="78" t="n">
        <x:f>COUNTIF(Included_papers!I2:I144,A19)</x:f>
        <x:v>2</x:v>
      </x:c>
      <x:c r="D19" s="83"/>
      <x:c r="E19" s="83"/>
      <x:c r="F19" s="83"/>
      <x:c r="G19" s="83"/>
      <x:c r="H19" s="83"/>
    </x:row>
    <x:row r="20">
      <x:c r="A20" s="36" t="str">
        <x:v>Other</x:v>
      </x:c>
      <x:c r="B20" s="78" t="n">
        <x:f>COUNTA(Included_papers!I2:I144)-SUM(B12:B19)</x:f>
        <x:v>6</x:v>
      </x:c>
    </x:row>
  </x:sheetData>
  <x:mergeCells>
    <x:mergeCell ref="A1:H2"/>
    <x:mergeCell ref="D11:H19"/>
  </x:mergeCells>
  <x:pageMargins left="0.7" right="0.7" top="0.75" bottom="0.75" header="0.3" footer="0.3"/>
  <x:drawing xmlns:r="http://schemas.openxmlformats.org/officeDocument/2006/relationships" r:id="R4e5b8404b73942c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8" hidden="0" customWidth="1"/>
    <x:col min="6" max="6" width="48" hidden="0" customWidth="1"/>
    <x:col min="7" max="7" width="21" hidden="0" customWidth="1"/>
    <x:col min="8" max="8" width="24" hidden="0" customWidth="1"/>
    <x:col min="9" max="9" width="22" hidden="0" customWidth="1"/>
    <x:col min="10" max="10" width="12" hidden="0" customWidth="1"/>
    <x:col min="11" max="11" width="38" hidden="0" customWidth="1"/>
    <x:col min="12" max="12" width="12" hidden="0" customWidth="1"/>
    <x:col min="13" max="13" width="34" hidden="0" customWidth="1"/>
    <x:col min="14" max="14" width="38" hidden="0" customWidth="1"/>
    <x:col min="15" max="15" width="24" hidden="0" customWidth="1"/>
    <x:col min="16" max="16" width="42" hidden="0" customWidth="1"/>
    <x:col min="17" max="17" width="18" hidden="0" customWidth="1"/>
  </x:cols>
  <x:sheetData>
    <x:row r="1" ht="32" customHeight="1">
      <x:c r="A1" s="6" t="str">
        <x:v>Context</x:v>
      </x:c>
      <x:c r="B1" s="6" t="str">
        <x:v>Tissue / disease</x:v>
      </x:c>
      <x:c r="C1" s="6" t="str">
        <x:v>Species</x:v>
      </x:c>
      <x:c r="D1" s="6" t="str">
        <x:v>First author</x:v>
      </x:c>
      <x:c r="E1" s="6" t="str">
        <x:v>Year</x:v>
      </x:c>
      <x:c r="F1" s="6" t="str">
        <x:v>Title</x:v>
      </x:c>
      <x:c r="G1" s="6" t="str">
        <x:v>Journal</x:v>
      </x:c>
      <x:c r="H1" s="6" t="str">
        <x:v>Transcriptomic design</x:v>
      </x:c>
      <x:c r="I1" s="6" t="str">
        <x:v>Framework type</x:v>
      </x:c>
      <x:c r="J1" s="6" t="str">
        <x:v>No. subtypes</x:v>
      </x:c>
      <x:c r="K1" s="6" t="str">
        <x:v>Subtype labels / framework</x:v>
      </x:c>
      <x:c r="L1" s="6" t="str">
        <x:v>Access grade</x:v>
      </x:c>
      <x:c r="M1" s="6" t="str">
        <x:v>Gene-set retrieval route</x:v>
      </x:c>
      <x:c r="N1" s="6" t="str">
        <x:v>Exact resource / audit note</x:v>
      </x:c>
      <x:c r="O1" s="6" t="str">
        <x:v>DOI</x:v>
      </x:c>
      <x:c r="P1" s="6" t="str">
        <x:v>Source URL</x:v>
      </x:c>
      <x:c r="Q1" s="6" t="str">
        <x:v>Audit status</x:v>
      </x:c>
    </x:row>
    <x:row r="2">
      <x:c r="A2" s="14" t="str">
        <x:v>Mixed / cross-tissue</x:v>
      </x:c>
      <x:c r="B2" s="14" t="str">
        <x:v>Heart, skeletal muscle, intestine, bladder</x:v>
      </x:c>
      <x:c r="C2" s="14" t="str">
        <x:v>Mouse</x:v>
      </x:c>
      <x:c r="D2" s="14" t="str">
        <x:v>Muhl</x:v>
      </x:c>
      <x:c r="E2" s="18" t="n">
        <x:v>2020</x:v>
      </x:c>
      <x:c r="F2" s="14" t="str">
        <x:v>Single-cell analysis uncovers fibroblast heterogeneity and criteria for fibroblast and mural cell identification and discrimination</x:v>
      </x:c>
      <x:c r="G2" s="14" t="str">
        <x:v>Nature Communications</x:v>
      </x:c>
      <x:c r="H2" s="14" t="str">
        <x:v>scRNA-seq</x:v>
      </x:c>
      <x:c r="I2" s="14" t="str">
        <x:v>Cross-tissue atlas</x:v>
      </x:c>
      <x:c r="J2" s="14" t="str">
        <x:v>3+ per organ</x:v>
      </x:c>
      <x:c r="K2" s="14" t="str">
        <x:v>Multiple organ-specific fibroblast populations plus conserved fibroblast identity</x:v>
      </x:c>
      <x:c r="L2" s="14" t="str">
        <x:v>A</x:v>
      </x:c>
      <x:c r="M2" s="14" t="str">
        <x:v>Supplementary Data 1–4 and processed scRNA-seq data</x:v>
      </x:c>
      <x:c r="N2" s="14" t="str">
        <x:v>Direct cluster marker and differential-expression tables are supplied.</x:v>
      </x:c>
      <x:c r="O2" s="14" t="str">
        <x:v>10.1038/s41467-020-17740-1</x:v>
      </x:c>
      <x:c r="P2" s="14" t="str">
        <x:v>https://doi.org/10.1038/s41467-020-17740-1</x:v>
      </x:c>
      <x:c r="Q2" s="14" t="str">
        <x:v>Included</x:v>
      </x:c>
    </x:row>
    <x:row r="3">
      <x:c r="A3" s="14" t="str">
        <x:v>Mixed / cross-tissue</x:v>
      </x:c>
      <x:c r="B3" s="14" t="str">
        <x:v>Multiple normal and injured tissues</x:v>
      </x:c>
      <x:c r="C3" s="14" t="str">
        <x:v>Mouse</x:v>
      </x:c>
      <x:c r="D3" s="14" t="str">
        <x:v>Buechler</x:v>
      </x:c>
      <x:c r="E3" s="18" t="n">
        <x:v>2021</x:v>
      </x:c>
      <x:c r="F3" s="14" t="str">
        <x:v>Cross-tissue organization of the fibroblast lineage</x:v>
      </x:c>
      <x:c r="G3" s="14" t="str">
        <x:v>Nature</x:v>
      </x:c>
      <x:c r="H3" s="14" t="str">
        <x:v>Integrated scRNA-seq atlas</x:v>
      </x:c>
      <x:c r="I3" s="14" t="str">
        <x:v>Cross-tissue atlas</x:v>
      </x:c>
      <x:c r="J3" s="14" t="str">
        <x:v>10+</x:v>
      </x:c>
      <x:c r="K3" s="14" t="str">
        <x:v>Universal, specialized and activated fibroblast states across tissues</x:v>
      </x:c>
      <x:c r="L3" s="14" t="str">
        <x:v>A</x:v>
      </x:c>
      <x:c r="M3" s="14" t="str">
        <x:v>Supplementary Table 8 and associated atlas data</x:v>
      </x:c>
      <x:c r="N3" s="14" t="str">
        <x:v>Subtype markers and cross-tissue mappings are directly recoverable.</x:v>
      </x:c>
      <x:c r="O3" s="14" t="str">
        <x:v>10.1038/s41586-021-03549-5</x:v>
      </x:c>
      <x:c r="P3" s="14" t="str">
        <x:v>https://doi.org/10.1038/s41586-021-03549-5</x:v>
      </x:c>
      <x:c r="Q3" s="14" t="str">
        <x:v>Included</x:v>
      </x:c>
    </x:row>
    <x:row r="4">
      <x:c r="A4" s="14" t="str">
        <x:v>Mixed / cross-tissue</x:v>
      </x:c>
      <x:c r="B4" s="14" t="str">
        <x:v>Rheumatoid arthritis, inflammatory bowel disease, interstitial lung disease, Sjögren syndrome</x:v>
      </x:c>
      <x:c r="C4" s="14" t="str">
        <x:v>Human</x:v>
      </x:c>
      <x:c r="D4" s="14" t="str">
        <x:v>Korsunsky</x:v>
      </x:c>
      <x:c r="E4" s="18" t="n">
        <x:v>2022</x:v>
      </x:c>
      <x:c r="F4" s="14" t="str">
        <x:v>Cross-tissue, single-cell stromal atlas identifies shared pathological fibroblast phenotypes in four chronic inflammatory diseases</x:v>
      </x:c>
      <x:c r="G4" s="14" t="str">
        <x:v>Med</x:v>
      </x:c>
      <x:c r="H4" s="14" t="str">
        <x:v>Integrated scRNA-seq atlas</x:v>
      </x:c>
      <x:c r="I4" s="14" t="str">
        <x:v>Cross-tissue atlas</x:v>
      </x:c>
      <x:c r="J4" s="14" t="str">
        <x:v>4+</x:v>
      </x:c>
      <x:c r="K4" s="14" t="str">
        <x:v>Shared inflammatory, immune-interacting and matrix-remodeling stromal phenotypes</x:v>
      </x:c>
      <x:c r="L4" s="14" t="str">
        <x:v>A</x:v>
      </x:c>
      <x:c r="M4" s="14" t="str">
        <x:v>Supplementary marker tables and public integrated atlas</x:v>
      </x:c>
      <x:c r="N4" s="14" t="str">
        <x:v>Disease-shared fibroblast signatures are available from supplementary data and the processed atlas.</x:v>
      </x:c>
      <x:c r="O4" s="14" t="str">
        <x:v>10.1016/j.medj.2022.04.003</x:v>
      </x:c>
      <x:c r="P4" s="14" t="str">
        <x:v>https://doi.org/10.1016/j.medj.2022.04.003</x:v>
      </x:c>
      <x:c r="Q4" s="14" t="str">
        <x:v>Included</x:v>
      </x:c>
    </x:row>
    <x:row r="5">
      <x:c r="A5" s="14" t="str">
        <x:v>Mixed / cross-tissue</x:v>
      </x:c>
      <x:c r="B5" s="14" t="str">
        <x:v>Normal and cancer tissues across organs</x:v>
      </x:c>
      <x:c r="C5" s="14" t="str">
        <x:v>Human</x:v>
      </x:c>
      <x:c r="D5" s="14" t="str">
        <x:v>Gao</x:v>
      </x:c>
      <x:c r="E5" s="18" t="n">
        <x:v>2024</x:v>
      </x:c>
      <x:c r="F5" s="14" t="str">
        <x:v>Cross-tissue human fibroblast atlas reveals myofibroblast subtypes with distinct roles in immune modulation</x:v>
      </x:c>
      <x:c r="G5" s="14" t="str">
        <x:v>Cancer Cell</x:v>
      </x:c>
      <x:c r="H5" s="14" t="str">
        <x:v>Integrated scRNA-seq atlas</x:v>
      </x:c>
      <x:c r="I5" s="14" t="str">
        <x:v>Cross-tissue atlas</x:v>
      </x:c>
      <x:c r="J5" s="14" t="str">
        <x:v>10+</x:v>
      </x:c>
      <x:c r="K5" s="14" t="str">
        <x:v>Cross-tissue fibroblast and myofibroblast classes, including disease-associated states</x:v>
      </x:c>
      <x:c r="L5" s="14" t="str">
        <x:v>A</x:v>
      </x:c>
      <x:c r="M5" s="14" t="str">
        <x:v>Supplementary marker tables and online atlas</x:v>
      </x:c>
      <x:c r="N5" s="14" t="str">
        <x:v>Gene programs are recoverable from supplementary data and the authors' atlas.</x:v>
      </x:c>
      <x:c r="O5" s="14" t="str">
        <x:v>10.1016/j.ccell.2024.08.020</x:v>
      </x:c>
      <x:c r="P5" s="14" t="str">
        <x:v>https://doi.org/10.1016/j.ccell.2024.08.020</x:v>
      </x:c>
      <x:c r="Q5" s="14" t="str">
        <x:v>Included</x:v>
      </x:c>
    </x:row>
    <x:row r="6">
      <x:c r="A6" s="14" t="str">
        <x:v>Mixed / cross-tissue</x:v>
      </x:c>
      <x:c r="B6" s="14" t="str">
        <x:v>Ten tissues, 73 studies</x:v>
      </x:c>
      <x:c r="C6" s="14" t="str">
        <x:v>Human and mouse</x:v>
      </x:c>
      <x:c r="D6" s="14" t="str">
        <x:v>Liu</x:v>
      </x:c>
      <x:c r="E6" s="18" t="n">
        <x:v>2025</x:v>
      </x:c>
      <x:c r="F6" s="14" t="str">
        <x:v>Fibroblast atlas: Shared and specific cell types across tissues</x:v>
      </x:c>
      <x:c r="G6" s="14" t="str">
        <x:v>Science Advances</x:v>
      </x:c>
      <x:c r="H6" s="14" t="str">
        <x:v>Integrated sc/snRNA-seq atlas</x:v>
      </x:c>
      <x:c r="I6" s="14" t="str">
        <x:v>Cross-tissue atlas</x:v>
      </x:c>
      <x:c r="J6" s="14" t="str">
        <x:v>18</x:v>
      </x:c>
      <x:c r="K6" s="14" t="str">
        <x:v>Eighteen shared and tissue-enriched fibroblast subtypes</x:v>
      </x:c>
      <x:c r="L6" s="14" t="str">
        <x:v>A</x:v>
      </x:c>
      <x:c r="M6" s="14" t="str">
        <x:v>Supplementary subtype-marker tables and atlas data</x:v>
      </x:c>
      <x:c r="N6" s="14" t="str">
        <x:v>The paper explicitly reports 18 subtypes and provides downloadable marker resources.</x:v>
      </x:c>
      <x:c r="O6" s="14" t="str">
        <x:v>10.1126/sciadv.ado0173</x:v>
      </x:c>
      <x:c r="P6" s="14" t="str">
        <x:v>https://doi.org/10.1126/sciadv.ado0173</x:v>
      </x:c>
      <x:c r="Q6" s="14" t="str">
        <x:v>Included</x:v>
      </x:c>
    </x:row>
    <x:row r="7">
      <x:c r="A7" s="14" t="str">
        <x:v>Mixed / cross-tissue</x:v>
      </x:c>
      <x:c r="B7" s="14" t="str">
        <x:v>Multiple organs and disease states</x:v>
      </x:c>
      <x:c r="C7" s="14" t="str">
        <x:v>Human</x:v>
      </x:c>
      <x:c r="D7" s="14" t="str">
        <x:v>Zhu</x:v>
      </x:c>
      <x:c r="E7" s="18" t="n">
        <x:v>2025</x:v>
      </x:c>
      <x:c r="F7" s="14" t="str">
        <x:v>A systematic characterization of fibroblast subtypes and their roles in health and disease</x:v>
      </x:c>
      <x:c r="G7" s="14" t="str">
        <x:v>iScience</x:v>
      </x:c>
      <x:c r="H7" s="14" t="str">
        <x:v>Integrated scRNA-seq atlas</x:v>
      </x:c>
      <x:c r="I7" s="14" t="str">
        <x:v>Cross-tissue atlas</x:v>
      </x:c>
      <x:c r="J7" s="14" t="str">
        <x:v>16</x:v>
      </x:c>
      <x:c r="K7" s="14" t="str">
        <x:v>Sixteen fibroblast subtypes with tissue specificity and cell-state annotations</x:v>
      </x:c>
      <x:c r="L7" s="14" t="str">
        <x:v>A</x:v>
      </x:c>
      <x:c r="M7" s="14" t="str">
        <x:v>Supplementary marker tables and processed integrated data</x:v>
      </x:c>
      <x:c r="N7" s="14" t="str">
        <x:v>Subtype-level genes are directly extractable from the article resources.</x:v>
      </x:c>
      <x:c r="O7" s="14" t="str"/>
      <x:c r="P7" s="14" t="str">
        <x:v>https://pubmed.ncbi.nlm.nih.gov/?term=%22A+systematic+characterization+of+fibroblast+subtypes+and+their+roles+in+health+and+disease%22</x:v>
      </x:c>
      <x:c r="Q7" s="14" t="str">
        <x:v>Included</x:v>
      </x:c>
    </x:row>
    <x:row r="8">
      <x:c r="A8" s="14" t="str">
        <x:v>Mixed / cross-tissue</x:v>
      </x:c>
      <x:c r="B8" s="14" t="str">
        <x:v>Healthy skin, 23 skin diseases and cross-tissue comparisons</x:v>
      </x:c>
      <x:c r="C8" s="14" t="str">
        <x:v>Human</x:v>
      </x:c>
      <x:c r="D8" s="14" t="str">
        <x:v>Steele</x:v>
      </x:c>
      <x:c r="E8" s="18" t="n">
        <x:v>2025</x:v>
      </x:c>
      <x:c r="F8" s="14" t="str">
        <x:v>A single-cell and spatial genomics atlas of human skin fibroblasts reveals shared disease-related fibroblast subtypes across tissues</x:v>
      </x:c>
      <x:c r="G8" s="14" t="str">
        <x:v>Nature Immunology</x:v>
      </x:c>
      <x:c r="H8" s="14" t="str">
        <x:v>Integrated scRNA-seq plus spatial transcriptomics</x:v>
      </x:c>
      <x:c r="I8" s="14" t="str">
        <x:v>Cross-tissue / skin atlas</x:v>
      </x:c>
      <x:c r="J8" s="14" t="str">
        <x:v>9</x:v>
      </x:c>
      <x:c r="K8" s="14" t="str">
        <x:v>Six healthy skin fibroblast subtypes and three disease-specific subtypes</x:v>
      </x:c>
      <x:c r="L8" s="14" t="str">
        <x:v>A</x:v>
      </x:c>
      <x:c r="M8" s="14" t="str">
        <x:v>Supplementary Table 2 and differential-expression tables</x:v>
      </x:c>
      <x:c r="N8" s="14" t="str">
        <x:v>Direct subtype markers and disease-state comparisons are supplied.</x:v>
      </x:c>
      <x:c r="O8" s="14" t="str">
        <x:v>10.1038/s41590-025-02267-8</x:v>
      </x:c>
      <x:c r="P8" s="14" t="str">
        <x:v>https://doi.org/10.1038/s41590-025-02267-8</x:v>
      </x:c>
      <x:c r="Q8" s="14" t="str">
        <x:v>Included</x:v>
      </x:c>
    </x:row>
    <x:row r="9">
      <x:c r="A9" s="14" t="str">
        <x:v>Cancer</x:v>
      </x:c>
      <x:c r="B9" s="14" t="str">
        <x:v>Pan-cancer</x:v>
      </x:c>
      <x:c r="C9" s="14" t="str">
        <x:v>Human</x:v>
      </x:c>
      <x:c r="D9" s="14" t="str">
        <x:v>Galbo</x:v>
      </x:c>
      <x:c r="E9" s="18" t="n">
        <x:v>2021</x:v>
      </x:c>
      <x:c r="F9" s="14" t="str">
        <x:v>Molecular features of cancer-associated fibroblast subtypes and their implication on cancer pathogenesis, prognosis, and immunotherapy resistance</x:v>
      </x:c>
      <x:c r="G9" s="14" t="str">
        <x:v>Clinical Cancer Research</x:v>
      </x:c>
      <x:c r="H9" s="14" t="str">
        <x:v>Integrated scRNA-seq / signature derivation</x:v>
      </x:c>
      <x:c r="I9" s="14" t="str">
        <x:v>Pan-cancer taxonomy</x:v>
      </x:c>
      <x:c r="J9" s="14" t="str">
        <x:v>6</x:v>
      </x:c>
      <x:c r="K9" s="14" t="str">
        <x:v>Six pan-CAF subtypes</x:v>
      </x:c>
      <x:c r="L9" s="14" t="str">
        <x:v>A</x:v>
      </x:c>
      <x:c r="M9" s="14" t="str">
        <x:v>Supplementary Table S4 and associated signature tables</x:v>
      </x:c>
      <x:c r="N9" s="14" t="str">
        <x:v>A direct six-subtype gene-signature resource is available.</x:v>
      </x:c>
      <x:c r="O9" s="14" t="str">
        <x:v>10.1158/1078-0432.CCR-20-4226</x:v>
      </x:c>
      <x:c r="P9" s="14" t="str">
        <x:v>https://doi.org/10.1158/1078-0432.CCR-20-4226</x:v>
      </x:c>
      <x:c r="Q9" s="14" t="str">
        <x:v>Included</x:v>
      </x:c>
    </x:row>
    <x:row r="10">
      <x:c r="A10" s="14" t="str">
        <x:v>Cancer</x:v>
      </x:c>
      <x:c r="B10" s="14" t="str">
        <x:v>Pan-cancer</x:v>
      </x:c>
      <x:c r="C10" s="14" t="str">
        <x:v>Human</x:v>
      </x:c>
      <x:c r="D10" s="14" t="str">
        <x:v>Luo</x:v>
      </x:c>
      <x:c r="E10" s="18" t="n">
        <x:v>2022</x:v>
      </x:c>
      <x:c r="F10" s="14" t="str">
        <x:v>Pan-cancer single-cell analysis reveals the heterogeneity and plasticity of cancer-associated fibroblasts in the tumor microenvironment</x:v>
      </x:c>
      <x:c r="G10" s="14" t="str">
        <x:v>Nature Communications</x:v>
      </x:c>
      <x:c r="H10" s="14" t="str">
        <x:v>Integrated scRNA-seq atlas</x:v>
      </x:c>
      <x:c r="I10" s="14" t="str">
        <x:v>Pan-cancer taxonomy</x:v>
      </x:c>
      <x:c r="J10" s="14" t="str">
        <x:v>6+</x:v>
      </x:c>
      <x:c r="K10" s="14" t="str">
        <x:v>Conserved and cancer-specific CAF states, including matrix, inflammatory and antigen-presenting programs</x:v>
      </x:c>
      <x:c r="L10" s="14" t="str">
        <x:v>A</x:v>
      </x:c>
      <x:c r="M10" s="14" t="str">
        <x:v>Supplementary marker tables and Single Cell CAF Atlas</x:v>
      </x:c>
      <x:c r="N10" s="14" t="str">
        <x:v>Marker genes and processed annotations are downloadable from the companion atlas.</x:v>
      </x:c>
      <x:c r="O10" s="14" t="str">
        <x:v>10.1038/s41467-022-34395-2</x:v>
      </x:c>
      <x:c r="P10" s="14" t="str">
        <x:v>https://doi.org/10.1038/s41467-022-34395-2</x:v>
      </x:c>
      <x:c r="Q10" s="14" t="str">
        <x:v>Included</x:v>
      </x:c>
    </x:row>
    <x:row r="11">
      <x:c r="A11" s="14" t="str">
        <x:v>Cancer</x:v>
      </x:c>
      <x:c r="B11" s="14" t="str">
        <x:v>Pan-cancer, training in breast cancer</x:v>
      </x:c>
      <x:c r="C11" s="14" t="str">
        <x:v>Human</x:v>
      </x:c>
      <x:c r="D11" s="14" t="str">
        <x:v>Cords</x:v>
      </x:c>
      <x:c r="E11" s="18" t="n">
        <x:v>2023</x:v>
      </x:c>
      <x:c r="F11" s="14" t="str">
        <x:v>Cancer-associated fibroblast classification in single-cell and spatial proteomics data</x:v>
      </x:c>
      <x:c r="G11" s="14" t="str">
        <x:v>Nature Communications</x:v>
      </x:c>
      <x:c r="H11" s="14" t="str">
        <x:v>Integrated scRNA-seq plus imaging mass cytometry</x:v>
      </x:c>
      <x:c r="I11" s="14" t="str">
        <x:v>Pan-cancer taxonomy</x:v>
      </x:c>
      <x:c r="J11" s="14" t="str">
        <x:v>9</x:v>
      </x:c>
      <x:c r="K11" s="14" t="str">
        <x:v>Nine CAF phenotypes plus a pericyte population</x:v>
      </x:c>
      <x:c r="L11" s="14" t="str">
        <x:v>A</x:v>
      </x:c>
      <x:c r="M11" s="14" t="str">
        <x:v>Supplementary differential-expression tables and processed atlas</x:v>
      </x:c>
      <x:c r="N11" s="14" t="str">
        <x:v>The classification was designed as a reusable pan-cancer CAF framework.</x:v>
      </x:c>
      <x:c r="O11" s="14" t="str">
        <x:v>10.1038/s41467-023-39762-1</x:v>
      </x:c>
      <x:c r="P11" s="14" t="str">
        <x:v>https://doi.org/10.1038/s41467-023-39762-1</x:v>
      </x:c>
      <x:c r="Q11" s="14" t="str">
        <x:v>Included</x:v>
      </x:c>
    </x:row>
    <x:row r="12">
      <x:c r="A12" s="14" t="str">
        <x:v>Cancer</x:v>
      </x:c>
      <x:c r="B12" s="14" t="str">
        <x:v>Pan-cancer</x:v>
      </x:c>
      <x:c r="C12" s="14" t="str">
        <x:v>Human</x:v>
      </x:c>
      <x:c r="D12" s="14" t="str">
        <x:v>Ma</x:v>
      </x:c>
      <x:c r="E12" s="18" t="n">
        <x:v>2023</x:v>
      </x:c>
      <x:c r="F12" s="14" t="str">
        <x:v>Pan-cancer single-cell dissection reveals phenotypically distinct cancer-associated fibroblasts</x:v>
      </x:c>
      <x:c r="G12" s="14" t="str">
        <x:v>Molecular Cancer</x:v>
      </x:c>
      <x:c r="H12" s="14" t="str">
        <x:v>Integrated scRNA-seq</x:v>
      </x:c>
      <x:c r="I12" s="14" t="str">
        <x:v>Pan-cancer taxonomy</x:v>
      </x:c>
      <x:c r="J12" s="14" t="str">
        <x:v>4</x:v>
      </x:c>
      <x:c r="K12" s="14" t="str">
        <x:v>Four functional CAF groups</x:v>
      </x:c>
      <x:c r="L12" s="14" t="str">
        <x:v>A</x:v>
      </x:c>
      <x:c r="M12" s="14" t="str">
        <x:v>Supplementary marker and differential-expression tables</x:v>
      </x:c>
      <x:c r="N12" s="14" t="str">
        <x:v>Subtype gene programs are directly retrievable.</x:v>
      </x:c>
      <x:c r="O12" s="14" t="str">
        <x:v>10.1186/s12943-023-01876-x</x:v>
      </x:c>
      <x:c r="P12" s="14" t="str">
        <x:v>https://doi.org/10.1186/s12943-023-01876-x</x:v>
      </x:c>
      <x:c r="Q12" s="14" t="str">
        <x:v>Included</x:v>
      </x:c>
    </x:row>
    <x:row r="13">
      <x:c r="A13" s="14" t="str">
        <x:v>Cancer</x:v>
      </x:c>
      <x:c r="B13" s="14" t="str">
        <x:v>Twelve solid tumor types</x:v>
      </x:c>
      <x:c r="C13" s="14" t="str">
        <x:v>Human</x:v>
      </x:c>
      <x:c r="D13" s="14" t="str">
        <x:v>Chen</x:v>
      </x:c>
      <x:c r="E13" s="18" t="n">
        <x:v>2023</x:v>
      </x:c>
      <x:c r="F13" s="14" t="str">
        <x:v>The molecular classification of cancer-associated fibroblasts on a pan-cancer single-cell transcriptional atlas</x:v>
      </x:c>
      <x:c r="G13" s="14" t="str">
        <x:v>Clinical and Translational Medicine</x:v>
      </x:c>
      <x:c r="H13" s="14" t="str">
        <x:v>Integrated scRNA-seq</x:v>
      </x:c>
      <x:c r="I13" s="14" t="str">
        <x:v>Pan-cancer taxonomy</x:v>
      </x:c>
      <x:c r="J13" s="14" t="str">
        <x:v>4</x:v>
      </x:c>
      <x:c r="K13" s="14" t="str">
        <x:v>proCAF, iCAF, myCAF and matCAF</x:v>
      </x:c>
      <x:c r="L13" s="14" t="str">
        <x:v>A</x:v>
      </x:c>
      <x:c r="M13" s="14" t="str">
        <x:v>Supplementary subtype signatures and processed data</x:v>
      </x:c>
      <x:c r="N13" s="14" t="str">
        <x:v>The four classes are explicitly defined with marker genes.</x:v>
      </x:c>
      <x:c r="O13" s="14" t="str">
        <x:v>10.1002/ctm2.1516</x:v>
      </x:c>
      <x:c r="P13" s="14" t="str">
        <x:v>https://doi.org/10.1002/ctm2.1516</x:v>
      </x:c>
      <x:c r="Q13" s="14" t="str">
        <x:v>Included</x:v>
      </x:c>
    </x:row>
    <x:row r="14">
      <x:c r="A14" s="14" t="str">
        <x:v>Cancer</x:v>
      </x:c>
      <x:c r="B14" s="14" t="str">
        <x:v>Multiple tumor types</x:v>
      </x:c>
      <x:c r="C14" s="14" t="str">
        <x:v>Human</x:v>
      </x:c>
      <x:c r="D14" s="14" t="str">
        <x:v>Liu</x:v>
      </x:c>
      <x:c r="E14" s="18" t="n">
        <x:v>2025</x:v>
      </x:c>
      <x:c r="F14" s="14" t="str">
        <x:v>Spatially conserved cancer-associated fibroblast subtypes across human cancers</x:v>
      </x:c>
      <x:c r="G14" s="14" t="str">
        <x:v>Cancer Cell</x:v>
      </x:c>
      <x:c r="H14" s="14" t="str">
        <x:v>Integrated scRNA-seq plus spatial transcriptomics</x:v>
      </x:c>
      <x:c r="I14" s="14" t="str">
        <x:v>Pan-cancer taxonomy</x:v>
      </x:c>
      <x:c r="J14" s="14" t="str">
        <x:v>4</x:v>
      </x:c>
      <x:c r="K14" s="14" t="str">
        <x:v>Four conserved spatial CAF subtypes</x:v>
      </x:c>
      <x:c r="L14" s="14" t="str">
        <x:v>A</x:v>
      </x:c>
      <x:c r="M14" s="14" t="str">
        <x:v>Supplementary signatures and spatial atlas</x:v>
      </x:c>
      <x:c r="N14" s="14" t="str">
        <x:v>Direct reusable subtype signatures are available from the paper resources.</x:v>
      </x:c>
      <x:c r="O14" s="14" t="str">
        <x:v>10.1016/j.ccell.2025.03.004</x:v>
      </x:c>
      <x:c r="P14" s="14" t="str">
        <x:v>https://doi.org/10.1016/j.ccell.2025.03.004</x:v>
      </x:c>
      <x:c r="Q14" s="14" t="str">
        <x:v>Included</x:v>
      </x:c>
    </x:row>
    <x:row r="15">
      <x:c r="A15" s="14" t="str">
        <x:v>Cancer</x:v>
      </x:c>
      <x:c r="B15" s="14" t="str">
        <x:v>Breast cancer</x:v>
      </x:c>
      <x:c r="C15" s="14" t="str">
        <x:v>Human</x:v>
      </x:c>
      <x:c r="D15" s="14" t="str">
        <x:v>Costa</x:v>
      </x:c>
      <x:c r="E15" s="18" t="n">
        <x:v>2018</x:v>
      </x:c>
      <x:c r="F15" s="14" t="str">
        <x:v>Fibroblast heterogeneity and immunosuppressive environment in human breast cancer</x:v>
      </x:c>
      <x:c r="G15" s="14" t="str">
        <x:v>Cancer Cell</x:v>
      </x:c>
      <x:c r="H15" s="14" t="str">
        <x:v>Sorted-cell transcriptomics plus flow cytometry</x:v>
      </x:c>
      <x:c r="I15" s="14" t="str">
        <x:v>Explicit subtype framework</x:v>
      </x:c>
      <x:c r="J15" s="14" t="str">
        <x:v>4</x:v>
      </x:c>
      <x:c r="K15" s="14" t="str">
        <x:v>CAF-S1, CAF-S2, CAF-S3 and CAF-S4</x:v>
      </x:c>
      <x:c r="L15" s="14" t="str">
        <x:v>A</x:v>
      </x:c>
      <x:c r="M15" s="14" t="str">
        <x:v>Supplementary expression/signature tables for sorted CAF subsets</x:v>
      </x:c>
      <x:c r="N15" s="14" t="str">
        <x:v>Foundational four-class human breast CAF taxonomy.</x:v>
      </x:c>
      <x:c r="O15" s="14" t="str">
        <x:v>10.1016/j.ccell.2018.01.011</x:v>
      </x:c>
      <x:c r="P15" s="14" t="str">
        <x:v>https://doi.org/10.1016/j.ccell.2018.01.011</x:v>
      </x:c>
      <x:c r="Q15" s="14" t="str">
        <x:v>Included</x:v>
      </x:c>
    </x:row>
    <x:row r="16">
      <x:c r="A16" s="14" t="str">
        <x:v>Cancer</x:v>
      </x:c>
      <x:c r="B16" s="14" t="str">
        <x:v>Breast cancer</x:v>
      </x:c>
      <x:c r="C16" s="14" t="str">
        <x:v>Mouse</x:v>
      </x:c>
      <x:c r="D16" s="14" t="str">
        <x:v>Bartoschek</x:v>
      </x:c>
      <x:c r="E16" s="18" t="n">
        <x:v>2018</x:v>
      </x:c>
      <x:c r="F16" s="14" t="str">
        <x:v>Spatially and functionally distinct subclasses of breast cancer-associated fibroblasts revealed by single cell RNA sequencing</x:v>
      </x:c>
      <x:c r="G16" s="14" t="str">
        <x:v>Nature Communications</x:v>
      </x:c>
      <x:c r="H16" s="14" t="str">
        <x:v>scRNA-seq</x:v>
      </x:c>
      <x:c r="I16" s="14" t="str">
        <x:v>Explicit subtype framework</x:v>
      </x:c>
      <x:c r="J16" s="14" t="str">
        <x:v>3</x:v>
      </x:c>
      <x:c r="K16" s="14" t="str">
        <x:v>Vascular CAFs, matrix CAFs and developmental CAFs</x:v>
      </x:c>
      <x:c r="L16" s="14" t="str">
        <x:v>A</x:v>
      </x:c>
      <x:c r="M16" s="14" t="str">
        <x:v>Supplementary cluster-marker tables</x:v>
      </x:c>
      <x:c r="N16" s="14" t="str">
        <x:v>Three transcriptionally and spatially distinct CAF classes.</x:v>
      </x:c>
      <x:c r="O16" s="14" t="str">
        <x:v>10.1038/s41467-018-07582-3</x:v>
      </x:c>
      <x:c r="P16" s="14" t="str">
        <x:v>https://doi.org/10.1038/s41467-018-07582-3</x:v>
      </x:c>
      <x:c r="Q16" s="14" t="str">
        <x:v>Included</x:v>
      </x:c>
    </x:row>
    <x:row r="17">
      <x:c r="A17" s="14" t="str">
        <x:v>Cancer</x:v>
      </x:c>
      <x:c r="B17" s="14" t="str">
        <x:v>Breast cancer</x:v>
      </x:c>
      <x:c r="C17" s="14" t="str">
        <x:v>Human</x:v>
      </x:c>
      <x:c r="D17" s="14" t="str">
        <x:v>Kieffer</x:v>
      </x:c>
      <x:c r="E17" s="18" t="n">
        <x:v>2020</x:v>
      </x:c>
      <x:c r="F17" s="14" t="str">
        <x:v>Single-cell analysis reveals fibroblast clusters linked to immunotherapy resistance in cancer</x:v>
      </x:c>
      <x:c r="G17" s="14" t="str">
        <x:v>Cancer Discovery</x:v>
      </x:c>
      <x:c r="H17" s="14" t="str">
        <x:v>scRNA-seq</x:v>
      </x:c>
      <x:c r="I17" s="14" t="str">
        <x:v>Explicit subtype framework</x:v>
      </x:c>
      <x:c r="J17" s="14" t="str">
        <x:v>8</x:v>
      </x:c>
      <x:c r="K17" s="14" t="str">
        <x:v>Eight CAF-S1 clusters, with five abundant functional populations validated</x:v>
      </x:c>
      <x:c r="L17" s="14" t="str">
        <x:v>A</x:v>
      </x:c>
      <x:c r="M17" s="14" t="str">
        <x:v>Supplementary Data S2</x:v>
      </x:c>
      <x:c r="N17" s="14" t="str">
        <x:v>Supplementary Data S2 contains cluster-level genes.</x:v>
      </x:c>
      <x:c r="O17" s="14" t="str">
        <x:v>10.1158/2159-8290.CD-19-1384</x:v>
      </x:c>
      <x:c r="P17" s="14" t="str">
        <x:v>https://doi.org/10.1158/2159-8290.CD-19-1384</x:v>
      </x:c>
      <x:c r="Q17" s="14" t="str">
        <x:v>Included</x:v>
      </x:c>
    </x:row>
    <x:row r="18">
      <x:c r="A18" s="14" t="str">
        <x:v>Cancer</x:v>
      </x:c>
      <x:c r="B18" s="14" t="str">
        <x:v>Breast cancer</x:v>
      </x:c>
      <x:c r="C18" s="14" t="str">
        <x:v>Mouse</x:v>
      </x:c>
      <x:c r="D18" s="14" t="str">
        <x:v>Sebastian</x:v>
      </x:c>
      <x:c r="E18" s="18" t="n">
        <x:v>2020</x:v>
      </x:c>
      <x:c r="F18" s="14" t="str">
        <x:v>Single-cell transcriptomic analysis of tumor-derived fibroblasts and normal tissue-resident fibroblasts reveals fibroblast heterogeneity in breast cancer</x:v>
      </x:c>
      <x:c r="G18" s="14" t="str">
        <x:v>Cancers</x:v>
      </x:c>
      <x:c r="H18" s="14" t="str">
        <x:v>scRNA-seq</x:v>
      </x:c>
      <x:c r="I18" s="14" t="str">
        <x:v>Explicit subtype framework</x:v>
      </x:c>
      <x:c r="J18" s="14" t="str">
        <x:v>6</x:v>
      </x:c>
      <x:c r="K18" s="14" t="str">
        <x:v>Acta2+ myCAF, Ly6c+ iCAF, MHC-II apCAF, Cd53+, Cd74+ and Crabp1+ fibroblasts</x:v>
      </x:c>
      <x:c r="L18" s="14" t="str">
        <x:v>A</x:v>
      </x:c>
      <x:c r="M18" s="14" t="str">
        <x:v>Supplementary differential-expression and marker tables</x:v>
      </x:c>
      <x:c r="N18" s="14" t="str">
        <x:v>Six fibroblast clusters are explicitly annotated.</x:v>
      </x:c>
      <x:c r="O18" s="14" t="str">
        <x:v>10.3390/cancers12051307</x:v>
      </x:c>
      <x:c r="P18" s="14" t="str">
        <x:v>https://doi.org/10.3390/cancers12051307</x:v>
      </x:c>
      <x:c r="Q18" s="14" t="str">
        <x:v>Included</x:v>
      </x:c>
    </x:row>
    <x:row r="19">
      <x:c r="A19" s="14" t="str">
        <x:v>Cancer</x:v>
      </x:c>
      <x:c r="B19" s="14" t="str">
        <x:v>Breast cancer</x:v>
      </x:c>
      <x:c r="C19" s="14" t="str">
        <x:v>Mouse and human</x:v>
      </x:c>
      <x:c r="D19" s="14" t="str">
        <x:v>Friedman</x:v>
      </x:c>
      <x:c r="E19" s="18" t="n">
        <x:v>2020</x:v>
      </x:c>
      <x:c r="F19" s="14" t="str">
        <x:v>Cancer-associated fibroblast compositions change with breast cancer progression linking the ratio of S100A4+ and PDPN+ CAFs to clinical outcome</x:v>
      </x:c>
      <x:c r="G19" s="14" t="str">
        <x:v>Nature Cancer</x:v>
      </x:c>
      <x:c r="H19" s="14" t="str">
        <x:v>scRNA-seq and validation</x:v>
      </x:c>
      <x:c r="I19" s="14" t="str">
        <x:v>Explicit subtype framework</x:v>
      </x:c>
      <x:c r="J19" s="14" t="str">
        <x:v>8</x:v>
      </x:c>
      <x:c r="K19" s="14" t="str">
        <x:v>Eight CAF states organized into S100A4-dominant and PDPN-dominant programs</x:v>
      </x:c>
      <x:c r="L19" s="14" t="str">
        <x:v>B</x:v>
      </x:c>
      <x:c r="M19" s="14" t="str">
        <x:v>Supplementary marker tables and GEO GSE149636/GSE149634</x:v>
      </x:c>
      <x:c r="N19" s="14" t="str">
        <x:v>Cluster genes can be retrieved from supplementary files or the processed expression object.</x:v>
      </x:c>
      <x:c r="O19" s="14" t="str">
        <x:v>10.1038/s43018-020-0082-y</x:v>
      </x:c>
      <x:c r="P19" s="14" t="str">
        <x:v>https://doi.org/10.1038/s43018-020-0082-y</x:v>
      </x:c>
      <x:c r="Q19" s="14" t="str">
        <x:v>Included</x:v>
      </x:c>
    </x:row>
    <x:row r="20">
      <x:c r="A20" s="14" t="str">
        <x:v>Cancer</x:v>
      </x:c>
      <x:c r="B20" s="14" t="str">
        <x:v>Breast cancer</x:v>
      </x:c>
      <x:c r="C20" s="14" t="str">
        <x:v>Human</x:v>
      </x:c>
      <x:c r="D20" s="14" t="str">
        <x:v>Ning</x:v>
      </x:c>
      <x:c r="E20" s="18" t="n">
        <x:v>2024</x:v>
      </x:c>
      <x:c r="F20" s="14" t="str">
        <x:v>scRNA-seq characterizing the heterogeneity of fibroblasts in breast cancer reveals a novel SFRP4+ CAF subtype</x:v>
      </x:c>
      <x:c r="G20" s="14" t="str">
        <x:v>Frontiers in Oncology</x:v>
      </x:c>
      <x:c r="H20" s="14" t="str">
        <x:v>Integrated scRNA-seq</x:v>
      </x:c>
      <x:c r="I20" s="14" t="str">
        <x:v>Explicit subtype framework</x:v>
      </x:c>
      <x:c r="J20" s="14" t="str">
        <x:v>7</x:v>
      </x:c>
      <x:c r="K20" s="14" t="str">
        <x:v>BTG1+, OGN+, CFD+, C1R+, IGFBP7+, MFAP5+ and SFRP4+ CAFs</x:v>
      </x:c>
      <x:c r="L20" s="14" t="str">
        <x:v>A</x:v>
      </x:c>
      <x:c r="M20" s="14" t="str">
        <x:v>Supplementary cluster markers and differential-expression tables</x:v>
      </x:c>
      <x:c r="N20" s="14" t="str">
        <x:v>Seven named CAF populations are defined.</x:v>
      </x:c>
      <x:c r="O20" s="14" t="str">
        <x:v>10.3389/fonc.2024.1348299</x:v>
      </x:c>
      <x:c r="P20" s="14" t="str">
        <x:v>https://doi.org/10.3389/fonc.2024.1348299</x:v>
      </x:c>
      <x:c r="Q20" s="14" t="str">
        <x:v>Included</x:v>
      </x:c>
    </x:row>
    <x:row r="21">
      <x:c r="A21" s="14" t="str">
        <x:v>Cancer</x:v>
      </x:c>
      <x:c r="B21" s="14" t="str">
        <x:v>Mammary gland and breast tumorigenesis</x:v>
      </x:c>
      <x:c r="C21" s="14" t="str">
        <x:v>Mouse</x:v>
      </x:c>
      <x:c r="D21" s="14" t="str">
        <x:v>Pascual</x:v>
      </x:c>
      <x:c r="E21" s="18" t="n">
        <x:v>2025</x:v>
      </x:c>
      <x:c r="F21" s="14" t="str">
        <x:v>Fibroblast hierarchy dynamics during mammary gland morphogenesis and tumorigenesis</x:v>
      </x:c>
      <x:c r="G21" s="14" t="str">
        <x:v>The EMBO Journal</x:v>
      </x:c>
      <x:c r="H21" s="14" t="str">
        <x:v>scRNA-seq and lineage analysis</x:v>
      </x:c>
      <x:c r="I21" s="14" t="str">
        <x:v>Development-to-cancer atlas</x:v>
      </x:c>
      <x:c r="J21" s="14" t="str">
        <x:v>7+</x:v>
      </x:c>
      <x:c r="K21" s="14" t="str">
        <x:v>Normal, hyperplasia-associated and tumor-associated fibroblast states</x:v>
      </x:c>
      <x:c r="L21" s="14" t="str">
        <x:v>B</x:v>
      </x:c>
      <x:c r="M21" s="14" t="str">
        <x:v>Supplementary marker tables and processed single-cell data</x:v>
      </x:c>
      <x:c r="N21" s="14" t="str">
        <x:v>Use the cluster DE tables; exact consolidated signature list requires extraction.</x:v>
      </x:c>
      <x:c r="O21" s="14" t="str"/>
      <x:c r="P21" s="14" t="str">
        <x:v>https://pubmed.ncbi.nlm.nih.gov/?term=%22Fibroblast+hierarchy+dynamics+during+mammary+gland+morphogenesis+and+tumorigenesis%22</x:v>
      </x:c>
      <x:c r="Q21" s="14" t="str">
        <x:v>Included</x:v>
      </x:c>
    </x:row>
    <x:row r="22">
      <x:c r="A22" s="14" t="str">
        <x:v>Cancer</x:v>
      </x:c>
      <x:c r="B22" s="14" t="str">
        <x:v>Pancreatic ductal adenocarcinoma</x:v>
      </x:c>
      <x:c r="C22" s="14" t="str">
        <x:v>Mouse and human</x:v>
      </x:c>
      <x:c r="D22" s="14" t="str">
        <x:v>Elyada</x:v>
      </x:c>
      <x:c r="E22" s="18" t="n">
        <x:v>2019</x:v>
      </x:c>
      <x:c r="F22" s="14" t="str">
        <x:v>Cross-species single-cell analysis of pancreatic ductal adenocarcinoma reveals antigen-presenting cancer-associated fibroblasts</x:v>
      </x:c>
      <x:c r="G22" s="14" t="str">
        <x:v>Cancer Discovery</x:v>
      </x:c>
      <x:c r="H22" s="14" t="str">
        <x:v>scRNA-seq</x:v>
      </x:c>
      <x:c r="I22" s="14" t="str">
        <x:v>Explicit subtype framework</x:v>
      </x:c>
      <x:c r="J22" s="14" t="str">
        <x:v>3</x:v>
      </x:c>
      <x:c r="K22" s="14" t="str">
        <x:v>myCAF, iCAF and apCAF</x:v>
      </x:c>
      <x:c r="L22" s="14" t="str">
        <x:v>A</x:v>
      </x:c>
      <x:c r="M22" s="14" t="str">
        <x:v>Supplementary Table S21</x:v>
      </x:c>
      <x:c r="N22" s="14" t="str">
        <x:v>CAF subtype signatures are explicitly listed.</x:v>
      </x:c>
      <x:c r="O22" s="14" t="str">
        <x:v>10.1158/2159-8290.CD-19-0094</x:v>
      </x:c>
      <x:c r="P22" s="14" t="str">
        <x:v>https://doi.org/10.1158/2159-8290.CD-19-0094</x:v>
      </x:c>
      <x:c r="Q22" s="14" t="str">
        <x:v>Included</x:v>
      </x:c>
    </x:row>
    <x:row r="23">
      <x:c r="A23" s="14" t="str">
        <x:v>Cancer</x:v>
      </x:c>
      <x:c r="B23" s="14" t="str">
        <x:v>Pancreatic ductal adenocarcinoma</x:v>
      </x:c>
      <x:c r="C23" s="14" t="str">
        <x:v>Human</x:v>
      </x:c>
      <x:c r="D23" s="14" t="str">
        <x:v>Lin</x:v>
      </x:c>
      <x:c r="E23" s="18" t="n">
        <x:v>2020</x:v>
      </x:c>
      <x:c r="F23" s="14" t="str">
        <x:v>Single-cell transcriptome analysis of tumor and stromal compartments of pancreatic ductal adenocarcinoma primary tumors and metastatic lesions</x:v>
      </x:c>
      <x:c r="G23" s="14" t="str">
        <x:v>Genome Medicine</x:v>
      </x:c>
      <x:c r="H23" s="14" t="str">
        <x:v>scRNA-seq</x:v>
      </x:c>
      <x:c r="I23" s="14" t="str">
        <x:v>Atlas-derived taxonomy</x:v>
      </x:c>
      <x:c r="J23" s="14" t="str">
        <x:v>3+</x:v>
      </x:c>
      <x:c r="K23" s="14" t="str">
        <x:v>Multiple CAF and stellate-cell states across primary and metastatic disease</x:v>
      </x:c>
      <x:c r="L23" s="14" t="str">
        <x:v>B</x:v>
      </x:c>
      <x:c r="M23" s="14" t="str">
        <x:v>Supplementary cluster-marker tables and processed scRNA-seq data</x:v>
      </x:c>
      <x:c r="N23" s="14" t="str">
        <x:v>Marker sets require extraction from the fibroblast subcluster tables.</x:v>
      </x:c>
      <x:c r="O23" s="14" t="str">
        <x:v>10.1186/s13073-020-00776-9</x:v>
      </x:c>
      <x:c r="P23" s="14" t="str">
        <x:v>https://doi.org/10.1186/s13073-020-00776-9</x:v>
      </x:c>
      <x:c r="Q23" s="14" t="str">
        <x:v>Included</x:v>
      </x:c>
    </x:row>
    <x:row r="24">
      <x:c r="A24" s="14" t="str">
        <x:v>Cancer</x:v>
      </x:c>
      <x:c r="B24" s="14" t="str">
        <x:v>Pancreatic ductal adenocarcinoma</x:v>
      </x:c>
      <x:c r="C24" s="14" t="str">
        <x:v>Human</x:v>
      </x:c>
      <x:c r="D24" s="14" t="str">
        <x:v>Wang</x:v>
      </x:c>
      <x:c r="E24" s="18" t="n">
        <x:v>2021</x:v>
      </x:c>
      <x:c r="F24" s="14" t="str">
        <x:v>Single-cell analysis of pancreatic ductal adenocarcinoma identifies a novel fibroblast subtype associated with poor prognosis but better immunotherapy response</x:v>
      </x:c>
      <x:c r="G24" s="14" t="str">
        <x:v>Cell Discovery</x:v>
      </x:c>
      <x:c r="H24" s="14" t="str">
        <x:v>scRNA-seq</x:v>
      </x:c>
      <x:c r="I24" s="14" t="str">
        <x:v>Explicit subtype framework</x:v>
      </x:c>
      <x:c r="J24" s="14" t="str">
        <x:v>4+</x:v>
      </x:c>
      <x:c r="K24" s="14" t="str">
        <x:v>Classical CAF states plus a novel prognostic fibroblast population</x:v>
      </x:c>
      <x:c r="L24" s="14" t="str">
        <x:v>A</x:v>
      </x:c>
      <x:c r="M24" s="14" t="str">
        <x:v>Supplementary cluster-marker and differential-expression tables</x:v>
      </x:c>
      <x:c r="N24" s="14" t="str">
        <x:v>Subtype marker genes are supplied in supplementary data.</x:v>
      </x:c>
      <x:c r="O24" s="14" t="str">
        <x:v>10.1038/s41421-021-00271-4</x:v>
      </x:c>
      <x:c r="P24" s="14" t="str">
        <x:v>https://doi.org/10.1038/s41421-021-00271-4</x:v>
      </x:c>
      <x:c r="Q24" s="14" t="str">
        <x:v>Included</x:v>
      </x:c>
    </x:row>
    <x:row r="25">
      <x:c r="A25" s="14" t="str">
        <x:v>Cancer</x:v>
      </x:c>
      <x:c r="B25" s="14" t="str">
        <x:v>Pancreatic ductal adenocarcinoma</x:v>
      </x:c>
      <x:c r="C25" s="14" t="str">
        <x:v>Human</x:v>
      </x:c>
      <x:c r="D25" s="14" t="str">
        <x:v>Chen</x:v>
      </x:c>
      <x:c r="E25" s="18" t="n">
        <x:v>2021</x:v>
      </x:c>
      <x:c r="F25" s="14" t="str">
        <x:v>Single-cell transcriptomic analysis reveals a malignant cell-associated fibroblast subtype in pancreatic cancer</x:v>
      </x:c>
      <x:c r="G25" s="14" t="str">
        <x:v>eBioMedicine</x:v>
      </x:c>
      <x:c r="H25" s="14" t="str">
        <x:v>scRNA-seq</x:v>
      </x:c>
      <x:c r="I25" s="14" t="str">
        <x:v>Explicit subtype framework</x:v>
      </x:c>
      <x:c r="J25" s="14" t="str">
        <x:v>3+</x:v>
      </x:c>
      <x:c r="K25" s="14" t="str">
        <x:v>Multiple CAF populations including malignant-cell-associated fibroblasts</x:v>
      </x:c>
      <x:c r="L25" s="14" t="str">
        <x:v>B</x:v>
      </x:c>
      <x:c r="M25" s="14" t="str">
        <x:v>Supplementary marker tables and public single-cell data</x:v>
      </x:c>
      <x:c r="N25" s="14" t="str">
        <x:v>Cluster genes are retrievable, although the paper emphasizes one newly described subset.</x:v>
      </x:c>
      <x:c r="O25" s="14" t="str">
        <x:v>10.1016/j.ebiom.2021.103315</x:v>
      </x:c>
      <x:c r="P25" s="14" t="str">
        <x:v>https://doi.org/10.1016/j.ebiom.2021.103315</x:v>
      </x:c>
      <x:c r="Q25" s="14" t="str">
        <x:v>Included</x:v>
      </x:c>
    </x:row>
    <x:row r="26">
      <x:c r="A26" s="14" t="str">
        <x:v>Cancer</x:v>
      </x:c>
      <x:c r="B26" s="14" t="str">
        <x:v>Pancreatic ductal adenocarcinoma</x:v>
      </x:c>
      <x:c r="C26" s="14" t="str">
        <x:v>Mouse and human</x:v>
      </x:c>
      <x:c r="D26" s="14" t="str">
        <x:v>Dominguez</x:v>
      </x:c>
      <x:c r="E26" s="18" t="n">
        <x:v>2020</x:v>
      </x:c>
      <x:c r="F26" s="14" t="str">
        <x:v>Single-cell RNA sequencing reveals stromal evolution into LRRC15+ myofibroblasts as a determinant of patient response to cancer immunotherapy</x:v>
      </x:c>
      <x:c r="G26" s="14" t="str">
        <x:v>Cancer Discovery</x:v>
      </x:c>
      <x:c r="H26" s="14" t="str">
        <x:v>scRNA-seq</x:v>
      </x:c>
      <x:c r="I26" s="14" t="str">
        <x:v>Explicit subtype framework</x:v>
      </x:c>
      <x:c r="J26" s="14" t="str">
        <x:v>3+</x:v>
      </x:c>
      <x:c r="K26" s="14" t="str">
        <x:v>Distinct fibroblast states culminating in LRRC15+ myofibroblasts</x:v>
      </x:c>
      <x:c r="L26" s="14" t="str">
        <x:v>A</x:v>
      </x:c>
      <x:c r="M26" s="14" t="str">
        <x:v>Supplementary fibroblast-state marker tables</x:v>
      </x:c>
      <x:c r="N26" s="14" t="str">
        <x:v>State-specific genes are directly recoverable.</x:v>
      </x:c>
      <x:c r="O26" s="14" t="str">
        <x:v>10.1158/2159-8290.CD-19-0644</x:v>
      </x:c>
      <x:c r="P26" s="14" t="str">
        <x:v>https://doi.org/10.1158/2159-8290.CD-19-0644</x:v>
      </x:c>
      <x:c r="Q26" s="14" t="str">
        <x:v>Included</x:v>
      </x:c>
    </x:row>
    <x:row r="27">
      <x:c r="A27" s="14" t="str">
        <x:v>Cancer</x:v>
      </x:c>
      <x:c r="B27" s="14" t="str">
        <x:v>Pancreatic ductal adenocarcinoma</x:v>
      </x:c>
      <x:c r="C27" s="14" t="str">
        <x:v>Human and mouse</x:v>
      </x:c>
      <x:c r="D27" s="14" t="str">
        <x:v>Huang</x:v>
      </x:c>
      <x:c r="E27" s="18" t="n">
        <x:v>2022</x:v>
      </x:c>
      <x:c r="F27" s="14" t="str">
        <x:v>Mesothelial cells induce the formation of antigen-presenting cancer-associated fibroblasts in pancreatic ductal adenocarcinoma</x:v>
      </x:c>
      <x:c r="G27" s="14" t="str">
        <x:v>Cancer Cell</x:v>
      </x:c>
      <x:c r="H27" s="14" t="str">
        <x:v>scRNA-seq and lineage tracing</x:v>
      </x:c>
      <x:c r="I27" s="14" t="str">
        <x:v>Explicit subtype framework</x:v>
      </x:c>
      <x:c r="J27" s="14" t="str">
        <x:v>3</x:v>
      </x:c>
      <x:c r="K27" s="14" t="str">
        <x:v>myCAF, iCAF and mesothelial-derived apCAF</x:v>
      </x:c>
      <x:c r="L27" s="14" t="str">
        <x:v>A</x:v>
      </x:c>
      <x:c r="M27" s="14" t="str">
        <x:v>Supplementary cluster and lineage-signature tables</x:v>
      </x:c>
      <x:c r="N27" s="14" t="str">
        <x:v>The paper supplies transcriptomic definitions of all major CAF classes.</x:v>
      </x:c>
      <x:c r="O27" s="14" t="str">
        <x:v>10.1016/j.ccell.2022.04.011</x:v>
      </x:c>
      <x:c r="P27" s="14" t="str">
        <x:v>https://doi.org/10.1016/j.ccell.2022.04.011</x:v>
      </x:c>
      <x:c r="Q27" s="14" t="str">
        <x:v>Included</x:v>
      </x:c>
    </x:row>
    <x:row r="28">
      <x:c r="A28" s="14" t="str">
        <x:v>Cancer</x:v>
      </x:c>
      <x:c r="B28" s="14" t="str">
        <x:v>Pancreatic ductal adenocarcinoma</x:v>
      </x:c>
      <x:c r="C28" s="14" t="str">
        <x:v>Human</x:v>
      </x:c>
      <x:c r="D28" s="14" t="str">
        <x:v>Werba</x:v>
      </x:c>
      <x:c r="E28" s="18" t="n">
        <x:v>2023</x:v>
      </x:c>
      <x:c r="F28" s="14" t="str">
        <x:v>Single-cell RNA sequencing reveals the effects of chemotherapy on human pancreatic adenocarcinoma and its tumor microenvironment</x:v>
      </x:c>
      <x:c r="G28" s="14" t="str">
        <x:v>Nature Communications</x:v>
      </x:c>
      <x:c r="H28" s="14" t="str">
        <x:v>scRNA-seq</x:v>
      </x:c>
      <x:c r="I28" s="14" t="str">
        <x:v>Atlas-derived taxonomy</x:v>
      </x:c>
      <x:c r="J28" s="14" t="str">
        <x:v>3+</x:v>
      </x:c>
      <x:c r="K28" s="14" t="str">
        <x:v>Treatment-associated CAF and stromal states</x:v>
      </x:c>
      <x:c r="L28" s="14" t="str">
        <x:v>B</x:v>
      </x:c>
      <x:c r="M28" s="14" t="str">
        <x:v>Supplementary marker/DE tables and processed data</x:v>
      </x:c>
      <x:c r="N28" s="14" t="str">
        <x:v>Fibroblast signatures can be extracted by treatment and cluster.</x:v>
      </x:c>
      <x:c r="O28" s="14" t="str">
        <x:v>10.1038/s41467-023-36296-4</x:v>
      </x:c>
      <x:c r="P28" s="14" t="str">
        <x:v>https://doi.org/10.1038/s41467-023-36296-4</x:v>
      </x:c>
      <x:c r="Q28" s="14" t="str">
        <x:v>Included</x:v>
      </x:c>
    </x:row>
    <x:row r="29">
      <x:c r="A29" s="14" t="str">
        <x:v>Cancer</x:v>
      </x:c>
      <x:c r="B29" s="14" t="str">
        <x:v>Pancreatic ductal adenocarcinoma</x:v>
      </x:c>
      <x:c r="C29" s="14" t="str">
        <x:v>Human</x:v>
      </x:c>
      <x:c r="D29" s="14" t="str">
        <x:v>Birnbaum</x:v>
      </x:c>
      <x:c r="E29" s="18" t="n">
        <x:v>2021</x:v>
      </x:c>
      <x:c r="F29" s="14" t="str">
        <x:v>Stromal-specific molecular subtypes of pancreatic ductal adenocarcinoma</x:v>
      </x:c>
      <x:c r="G29" s="14" t="str">
        <x:v>Clinical Cancer Research</x:v>
      </x:c>
      <x:c r="H29" s="14" t="str">
        <x:v>Bulk transcriptomics of stromal compartment</x:v>
      </x:c>
      <x:c r="I29" s="14" t="str">
        <x:v>Bulk stromal taxonomy</x:v>
      </x:c>
      <x:c r="J29" s="14" t="str">
        <x:v>3</x:v>
      </x:c>
      <x:c r="K29" s="14" t="str">
        <x:v>Three stromal molecular subtypes defined by a 274-gene classifier</x:v>
      </x:c>
      <x:c r="L29" s="14" t="str">
        <x:v>A</x:v>
      </x:c>
      <x:c r="M29" s="14" t="str">
        <x:v>Supplementary Table S7</x:v>
      </x:c>
      <x:c r="N29" s="14" t="str">
        <x:v>This is a bulk stromal, rather than single-cell, subtype framework.</x:v>
      </x:c>
      <x:c r="O29" s="14" t="str"/>
      <x:c r="P29" s="14" t="str">
        <x:v>https://pubmed.ncbi.nlm.nih.gov/?term=%22Stromal-specific+molecular+subtypes+of+pancreatic+ductal+adenocarcinoma%22</x:v>
      </x:c>
      <x:c r="Q29" s="14" t="str">
        <x:v>Included</x:v>
      </x:c>
    </x:row>
    <x:row r="30">
      <x:c r="A30" s="14" t="str">
        <x:v>Cancer</x:v>
      </x:c>
      <x:c r="B30" s="14" t="str">
        <x:v>Pancreatic ductal adenocarcinoma</x:v>
      </x:c>
      <x:c r="C30" s="14" t="str">
        <x:v>Human primary CAF cultures</x:v>
      </x:c>
      <x:c r="D30" s="14" t="str">
        <x:v>Neuzillet</x:v>
      </x:c>
      <x:c r="E30" s="18" t="n">
        <x:v>2019</x:v>
      </x:c>
      <x:c r="F30" s="14" t="str">
        <x:v>Inter- and intra-tumoral heterogeneity in cancer-associated fibroblasts of human pancreatic ductal adenocarcinoma</x:v>
      </x:c>
      <x:c r="G30" s="14" t="str">
        <x:v>The Journal of Pathology</x:v>
      </x:c>
      <x:c r="H30" s="14" t="str">
        <x:v>Bulk RNA-seq of purified CAF cultures</x:v>
      </x:c>
      <x:c r="I30" s="14" t="str">
        <x:v>Bulk purified-cell taxonomy</x:v>
      </x:c>
      <x:c r="J30" s="14" t="str">
        <x:v>4</x:v>
      </x:c>
      <x:c r="K30" s="14" t="str">
        <x:v>CAF subtypes A, B, C and D</x:v>
      </x:c>
      <x:c r="L30" s="14" t="str">
        <x:v>A</x:v>
      </x:c>
      <x:c r="M30" s="14" t="str">
        <x:v>Supplementary gene lists defining the four CAF classes</x:v>
      </x:c>
      <x:c r="N30" s="14" t="str">
        <x:v>A reusable four-class cultured-CAF taxonomy.</x:v>
      </x:c>
      <x:c r="O30" s="14" t="str">
        <x:v>10.1002/path.5224</x:v>
      </x:c>
      <x:c r="P30" s="14" t="str">
        <x:v>https://doi.org/10.1002/path.5224</x:v>
      </x:c>
      <x:c r="Q30" s="14" t="str">
        <x:v>Included</x:v>
      </x:c>
    </x:row>
    <x:row r="31">
      <x:c r="A31" s="14" t="str">
        <x:v>Cancer</x:v>
      </x:c>
      <x:c r="B31" s="14" t="str">
        <x:v>Pancreatic ductal adenocarcinoma</x:v>
      </x:c>
      <x:c r="C31" s="14" t="str">
        <x:v>Human</x:v>
      </x:c>
      <x:c r="D31" s="14" t="str">
        <x:v>Loveless</x:v>
      </x:c>
      <x:c r="E31" s="18" t="n">
        <x:v>2025</x:v>
      </x:c>
      <x:c r="F31" s="14" t="str">
        <x:v>Human pancreatic cancer single-cell atlas reveals association of CXCL10+ fibroblasts and basal subtype tumor cells</x:v>
      </x:c>
      <x:c r="G31" s="14" t="str">
        <x:v>Clinical Cancer Research</x:v>
      </x:c>
      <x:c r="H31" s="14" t="str">
        <x:v>Integrated scRNA-seq</x:v>
      </x:c>
      <x:c r="I31" s="14" t="str">
        <x:v>Atlas-derived taxonomy</x:v>
      </x:c>
      <x:c r="J31" s="14" t="str">
        <x:v>5+</x:v>
      </x:c>
      <x:c r="K31" s="14" t="str">
        <x:v>Multiple fibroblast clusters including CXCL10+ fibroblasts</x:v>
      </x:c>
      <x:c r="L31" s="14" t="str">
        <x:v>A</x:v>
      </x:c>
      <x:c r="M31" s="14" t="str">
        <x:v>Supplementary Table S2 and processed atlas</x:v>
      </x:c>
      <x:c r="N31" s="14" t="str">
        <x:v>Table S2 contains cell-cluster marker genes.</x:v>
      </x:c>
      <x:c r="O31" s="14" t="str">
        <x:v>10.1158/1078-0432.CCR-24-1730</x:v>
      </x:c>
      <x:c r="P31" s="14" t="str">
        <x:v>https://doi.org/10.1158/1078-0432.CCR-24-1730</x:v>
      </x:c>
      <x:c r="Q31" s="14" t="str">
        <x:v>Included</x:v>
      </x:c>
    </x:row>
    <x:row r="32">
      <x:c r="A32" s="14" t="str">
        <x:v>Cancer</x:v>
      </x:c>
      <x:c r="B32" s="14" t="str">
        <x:v>Pancreatic ductal adenocarcinoma</x:v>
      </x:c>
      <x:c r="C32" s="14" t="str">
        <x:v>Human</x:v>
      </x:c>
      <x:c r="D32" s="14" t="str">
        <x:v>Veghini</x:v>
      </x:c>
      <x:c r="E32" s="18" t="n">
        <x:v>2024</x:v>
      </x:c>
      <x:c r="F32" s="14" t="str">
        <x:v>Differential MAPK activity defines fibroblast subtypes in pancreatic cancer</x:v>
      </x:c>
      <x:c r="G32" s="14" t="str">
        <x:v>Nature Communications</x:v>
      </x:c>
      <x:c r="H32" s="14" t="str">
        <x:v>scRNA-seq and functional perturbation</x:v>
      </x:c>
      <x:c r="I32" s="14" t="str">
        <x:v>Explicit subtype framework</x:v>
      </x:c>
      <x:c r="J32" s="14" t="str">
        <x:v>3+</x:v>
      </x:c>
      <x:c r="K32" s="14" t="str">
        <x:v>MAPK-distinguished fibroblast states</x:v>
      </x:c>
      <x:c r="L32" s="14" t="str">
        <x:v>B</x:v>
      </x:c>
      <x:c r="M32" s="14" t="str">
        <x:v>Supplementary marker and pathway tables</x:v>
      </x:c>
      <x:c r="N32" s="14" t="str">
        <x:v>Subtype gene programs are retrievable; exact minimal signatures require extraction.</x:v>
      </x:c>
      <x:c r="O32" s="14" t="str">
        <x:v>10.1038/s41467-024-54975-8</x:v>
      </x:c>
      <x:c r="P32" s="14" t="str">
        <x:v>https://doi.org/10.1038/s41467-024-54975-8</x:v>
      </x:c>
      <x:c r="Q32" s="14" t="str">
        <x:v>Included</x:v>
      </x:c>
    </x:row>
    <x:row r="33">
      <x:c r="A33" s="14" t="str">
        <x:v>Cancer</x:v>
      </x:c>
      <x:c r="B33" s="14" t="str">
        <x:v>Lung cancer</x:v>
      </x:c>
      <x:c r="C33" s="14" t="str">
        <x:v>Human</x:v>
      </x:c>
      <x:c r="D33" s="14" t="str">
        <x:v>Hu</x:v>
      </x:c>
      <x:c r="E33" s="18" t="n">
        <x:v>2021</x:v>
      </x:c>
      <x:c r="F33" s="14" t="str">
        <x:v>Three subtypes of lung cancer fibroblasts define distinct therapeutic paradigms</x:v>
      </x:c>
      <x:c r="G33" s="14" t="str">
        <x:v>Cancer Cell</x:v>
      </x:c>
      <x:c r="H33" s="14" t="str">
        <x:v>scRNA-seq and functional assays</x:v>
      </x:c>
      <x:c r="I33" s="14" t="str">
        <x:v>Explicit subtype framework</x:v>
      </x:c>
      <x:c r="J33" s="14" t="str">
        <x:v>3</x:v>
      </x:c>
      <x:c r="K33" s="14" t="str">
        <x:v>Three functional lung CAF subtypes with distinct growth-supporting properties</x:v>
      </x:c>
      <x:c r="L33" s="14" t="str">
        <x:v>A</x:v>
      </x:c>
      <x:c r="M33" s="14" t="str">
        <x:v>Supplementary subtype marker and secretome tables</x:v>
      </x:c>
      <x:c r="N33" s="14" t="str">
        <x:v>The paper explicitly defines three transcriptomic classes.</x:v>
      </x:c>
      <x:c r="O33" s="14" t="str">
        <x:v>10.1016/j.ccell.2021.10.003</x:v>
      </x:c>
      <x:c r="P33" s="14" t="str">
        <x:v>https://doi.org/10.1016/j.ccell.2021.10.003</x:v>
      </x:c>
      <x:c r="Q33" s="14" t="str">
        <x:v>Included</x:v>
      </x:c>
    </x:row>
    <x:row r="34">
      <x:c r="A34" s="14" t="str">
        <x:v>Cancer</x:v>
      </x:c>
      <x:c r="B34" s="14" t="str">
        <x:v>Non-small-cell lung cancer</x:v>
      </x:c>
      <x:c r="C34" s="14" t="str">
        <x:v>Human</x:v>
      </x:c>
      <x:c r="D34" s="14" t="str">
        <x:v>Hanley</x:v>
      </x:c>
      <x:c r="E34" s="18" t="n">
        <x:v>2023</x:v>
      </x:c>
      <x:c r="F34" s="14" t="str">
        <x:v>Single-cell analysis reveals prognostic fibroblast subpopulations linked to molecular and immunological subtypes of lung cancer</x:v>
      </x:c>
      <x:c r="G34" s="14" t="str">
        <x:v>Nature Communications</x:v>
      </x:c>
      <x:c r="H34" s="14" t="str">
        <x:v>scRNA-seq</x:v>
      </x:c>
      <x:c r="I34" s="14" t="str">
        <x:v>Explicit subtype framework</x:v>
      </x:c>
      <x:c r="J34" s="14" t="str">
        <x:v>3</x:v>
      </x:c>
      <x:c r="K34" s="14" t="str">
        <x:v>Adventitial, alveolar and myofibroblast populations</x:v>
      </x:c>
      <x:c r="L34" s="14" t="str">
        <x:v>A</x:v>
      </x:c>
      <x:c r="M34" s="14" t="str">
        <x:v>Supplementary cluster-marker tables</x:v>
      </x:c>
      <x:c r="N34" s="14" t="str">
        <x:v>Three major subpopulations with reusable marker genes.</x:v>
      </x:c>
      <x:c r="O34" s="14" t="str">
        <x:v>10.1038/s41467-023-35832-6</x:v>
      </x:c>
      <x:c r="P34" s="14" t="str">
        <x:v>https://doi.org/10.1038/s41467-023-35832-6</x:v>
      </x:c>
      <x:c r="Q34" s="14" t="str">
        <x:v>Included</x:v>
      </x:c>
    </x:row>
    <x:row r="35">
      <x:c r="A35" s="14" t="str">
        <x:v>Cancer</x:v>
      </x:c>
      <x:c r="B35" s="14" t="str">
        <x:v>Non-small-cell lung cancer</x:v>
      </x:c>
      <x:c r="C35" s="14" t="str">
        <x:v>Human</x:v>
      </x:c>
      <x:c r="D35" s="14" t="str">
        <x:v>Grout</x:v>
      </x:c>
      <x:c r="E35" s="18" t="n">
        <x:v>2022</x:v>
      </x:c>
      <x:c r="F35" s="14" t="str">
        <x:v>Spatial positioning and matrix programs of cancer-associated fibroblasts promote T-cell exclusion in human lung tumors</x:v>
      </x:c>
      <x:c r="G35" s="14" t="str">
        <x:v>Cancer Discovery</x:v>
      </x:c>
      <x:c r="H35" s="14" t="str">
        <x:v>scRNA-seq plus spatial profiling</x:v>
      </x:c>
      <x:c r="I35" s="14" t="str">
        <x:v>Explicit subtype framework</x:v>
      </x:c>
      <x:c r="J35" s="14" t="str">
        <x:v>3+</x:v>
      </x:c>
      <x:c r="K35" s="14" t="str">
        <x:v>Spatially distinct CAF programs including matrix-remodeling and inflammatory states</x:v>
      </x:c>
      <x:c r="L35" s="14" t="str">
        <x:v>A</x:v>
      </x:c>
      <x:c r="M35" s="14" t="str">
        <x:v>Supplementary CAF program tables</x:v>
      </x:c>
      <x:c r="N35" s="14" t="str">
        <x:v>CAF program genes are directly supplied.</x:v>
      </x:c>
      <x:c r="O35" s="14" t="str">
        <x:v>10.1158/2159-8290.CD-21-1714</x:v>
      </x:c>
      <x:c r="P35" s="14" t="str">
        <x:v>https://doi.org/10.1158/2159-8290.CD-21-1714</x:v>
      </x:c>
      <x:c r="Q35" s="14" t="str">
        <x:v>Included</x:v>
      </x:c>
    </x:row>
    <x:row r="36">
      <x:c r="A36" s="14" t="str">
        <x:v>Cancer</x:v>
      </x:c>
      <x:c r="B36" s="14" t="str">
        <x:v>Lung cancer</x:v>
      </x:c>
      <x:c r="C36" s="14" t="str">
        <x:v>Human</x:v>
      </x:c>
      <x:c r="D36" s="14" t="str">
        <x:v>Lambrechts</x:v>
      </x:c>
      <x:c r="E36" s="18" t="n">
        <x:v>2018</x:v>
      </x:c>
      <x:c r="F36" s="14" t="str">
        <x:v>Phenotype molding of stromal cells in the lung tumor microenvironment</x:v>
      </x:c>
      <x:c r="G36" s="14" t="str">
        <x:v>Nature Medicine</x:v>
      </x:c>
      <x:c r="H36" s="14" t="str">
        <x:v>scRNA-seq</x:v>
      </x:c>
      <x:c r="I36" s="14" t="str">
        <x:v>Atlas-derived taxonomy</x:v>
      </x:c>
      <x:c r="J36" s="14" t="str">
        <x:v>5+</x:v>
      </x:c>
      <x:c r="K36" s="14" t="str">
        <x:v>Multiple fibroblast and stromal populations in lung tumors and adjacent tissue</x:v>
      </x:c>
      <x:c r="L36" s="14" t="str">
        <x:v>A</x:v>
      </x:c>
      <x:c r="M36" s="14" t="str">
        <x:v>Supplementary Table 3 and processed single-cell data</x:v>
      </x:c>
      <x:c r="N36" s="14" t="str">
        <x:v>Marker genes are available for stromal subclusters.</x:v>
      </x:c>
      <x:c r="O36" s="14" t="str">
        <x:v>10.1038/s41591-018-0096-5</x:v>
      </x:c>
      <x:c r="P36" s="14" t="str">
        <x:v>https://doi.org/10.1038/s41591-018-0096-5</x:v>
      </x:c>
      <x:c r="Q36" s="14" t="str">
        <x:v>Included</x:v>
      </x:c>
    </x:row>
    <x:row r="37">
      <x:c r="A37" s="14" t="str">
        <x:v>Cancer</x:v>
      </x:c>
      <x:c r="B37" s="14" t="str">
        <x:v>Pulmonary carcinoids</x:v>
      </x:c>
      <x:c r="C37" s="14" t="str">
        <x:v>Human</x:v>
      </x:c>
      <x:c r="D37" s="14" t="str">
        <x:v>Bischoff</x:v>
      </x:c>
      <x:c r="E37" s="18" t="n">
        <x:v>2022</x:v>
      </x:c>
      <x:c r="F37" s="14" t="str">
        <x:v>Single-cell transcriptomic analysis of the tumor microenvironment in pulmonary carcinoids</x:v>
      </x:c>
      <x:c r="G37" s="14" t="str">
        <x:v>International Journal of Cancer</x:v>
      </x:c>
      <x:c r="H37" s="14" t="str">
        <x:v>scRNA-seq</x:v>
      </x:c>
      <x:c r="I37" s="14" t="str">
        <x:v>Atlas-derived taxonomy</x:v>
      </x:c>
      <x:c r="J37" s="14" t="str">
        <x:v>3+</x:v>
      </x:c>
      <x:c r="K37" s="14" t="str">
        <x:v>Multiple fibroblast and smooth-muscle-like stromal clusters</x:v>
      </x:c>
      <x:c r="L37" s="14" t="str">
        <x:v>B</x:v>
      </x:c>
      <x:c r="M37" s="14" t="str">
        <x:v>Supplementary cluster-marker tables</x:v>
      </x:c>
      <x:c r="N37" s="14" t="str">
        <x:v>Fibroblast-specific gene sets require extraction from the atlas tables.</x:v>
      </x:c>
      <x:c r="O37" s="14" t="str">
        <x:v>10.1002/ijc.33995</x:v>
      </x:c>
      <x:c r="P37" s="14" t="str">
        <x:v>https://doi.org/10.1002/ijc.33995</x:v>
      </x:c>
      <x:c r="Q37" s="14" t="str">
        <x:v>Included</x:v>
      </x:c>
    </x:row>
    <x:row r="38">
      <x:c r="A38" s="14" t="str">
        <x:v>Cancer</x:v>
      </x:c>
      <x:c r="B38" s="14" t="str">
        <x:v>Lung cancer</x:v>
      </x:c>
      <x:c r="C38" s="14" t="str">
        <x:v>Human</x:v>
      </x:c>
      <x:c r="D38" s="14" t="str">
        <x:v>Hirano</x:v>
      </x:c>
      <x:c r="E38" s="18" t="n">
        <x:v>2026</x:v>
      </x:c>
      <x:c r="F38" s="14" t="str">
        <x:v>Integrated single-cell atlas reveals conserved and treatment-associated fibroblast states in lung cancer</x:v>
      </x:c>
      <x:c r="G38" s="14" t="str">
        <x:v>npj Precision Oncology</x:v>
      </x:c>
      <x:c r="H38" s="14" t="str">
        <x:v>Integrated scRNA-seq</x:v>
      </x:c>
      <x:c r="I38" s="14" t="str">
        <x:v>Atlas-derived taxonomy</x:v>
      </x:c>
      <x:c r="J38" s="14" t="str">
        <x:v>3+</x:v>
      </x:c>
      <x:c r="K38" s="14" t="str">
        <x:v>Conserved and treatment-associated lung CAF states</x:v>
      </x:c>
      <x:c r="L38" s="14" t="str">
        <x:v>B</x:v>
      </x:c>
      <x:c r="M38" s="14" t="str">
        <x:v>Supplementary marker tables and processed integrated data</x:v>
      </x:c>
      <x:c r="N38" s="14" t="str">
        <x:v>Published 2026; include as a recent atlas-derived taxonomy.</x:v>
      </x:c>
      <x:c r="O38" s="14" t="str">
        <x:v>10.1038/s41698-026-01279-3</x:v>
      </x:c>
      <x:c r="P38" s="14" t="str">
        <x:v>https://doi.org/10.1038/s41698-026-01279-3</x:v>
      </x:c>
      <x:c r="Q38" s="14" t="str">
        <x:v>Included</x:v>
      </x:c>
    </x:row>
    <x:row r="39">
      <x:c r="A39" s="14" t="str">
        <x:v>Cancer</x:v>
      </x:c>
      <x:c r="B39" s="14" t="str">
        <x:v>Colorectal cancer liver metastasis</x:v>
      </x:c>
      <x:c r="C39" s="14" t="str">
        <x:v>Human</x:v>
      </x:c>
      <x:c r="D39" s="14" t="str">
        <x:v>Che</x:v>
      </x:c>
      <x:c r="E39" s="18" t="n">
        <x:v>2021</x:v>
      </x:c>
      <x:c r="F39" s="14" t="str">
        <x:v>Single-cell atlas of the liver metastatic microenvironment in colorectal cancer</x:v>
      </x:c>
      <x:c r="G39" s="14" t="str">
        <x:v>Cell Discovery</x:v>
      </x:c>
      <x:c r="H39" s="14" t="str">
        <x:v>scRNA-seq</x:v>
      </x:c>
      <x:c r="I39" s="14" t="str">
        <x:v>Atlas-derived taxonomy</x:v>
      </x:c>
      <x:c r="J39" s="14" t="str">
        <x:v>3+</x:v>
      </x:c>
      <x:c r="K39" s="14" t="str">
        <x:v>Multiple CAF states in colorectal liver metastases</x:v>
      </x:c>
      <x:c r="L39" s="14" t="str">
        <x:v>B</x:v>
      </x:c>
      <x:c r="M39" s="14" t="str">
        <x:v>Supplementary cluster-marker tables</x:v>
      </x:c>
      <x:c r="N39" s="14" t="str">
        <x:v>Fibroblast genes are recoverable from the stromal subcluster data.</x:v>
      </x:c>
      <x:c r="O39" s="14" t="str">
        <x:v>10.1038/s41421-021-00312-y</x:v>
      </x:c>
      <x:c r="P39" s="14" t="str">
        <x:v>https://doi.org/10.1038/s41421-021-00312-y</x:v>
      </x:c>
      <x:c r="Q39" s="14" t="str">
        <x:v>Included</x:v>
      </x:c>
    </x:row>
    <x:row r="40">
      <x:c r="A40" s="14" t="str">
        <x:v>Cancer</x:v>
      </x:c>
      <x:c r="B40" s="14" t="str">
        <x:v>Colorectal cancer liver metastasis</x:v>
      </x:c>
      <x:c r="C40" s="14" t="str">
        <x:v>Human</x:v>
      </x:c>
      <x:c r="D40" s="14" t="str">
        <x:v>Giguelay</x:v>
      </x:c>
      <x:c r="E40" s="18" t="n">
        <x:v>2022</x:v>
      </x:c>
      <x:c r="F40" s="14" t="str">
        <x:v>The landscape of cancer-associated fibroblasts in colorectal cancer liver metastases</x:v>
      </x:c>
      <x:c r="G40" s="14" t="str">
        <x:v>Theranostics</x:v>
      </x:c>
      <x:c r="H40" s="14" t="str">
        <x:v>scRNA-seq</x:v>
      </x:c>
      <x:c r="I40" s="14" t="str">
        <x:v>Explicit subtype framework</x:v>
      </x:c>
      <x:c r="J40" s="14" t="str">
        <x:v>3+</x:v>
      </x:c>
      <x:c r="K40" s="14" t="str">
        <x:v>Distinct matrix, inflammatory and contractile CAF populations</x:v>
      </x:c>
      <x:c r="L40" s="14" t="str">
        <x:v>A</x:v>
      </x:c>
      <x:c r="M40" s="14" t="str">
        <x:v>Supplementary marker and differential-expression tables</x:v>
      </x:c>
      <x:c r="N40" s="14" t="str">
        <x:v>CAF subtype genes are explicitly tabulated.</x:v>
      </x:c>
      <x:c r="O40" s="14" t="str">
        <x:v>10.7150/thno.72853</x:v>
      </x:c>
      <x:c r="P40" s="14" t="str">
        <x:v>https://doi.org/10.7150/thno.72853</x:v>
      </x:c>
      <x:c r="Q40" s="14" t="str">
        <x:v>Included</x:v>
      </x:c>
    </x:row>
    <x:row r="41">
      <x:c r="A41" s="14" t="str">
        <x:v>Cancer</x:v>
      </x:c>
      <x:c r="B41" s="14" t="str">
        <x:v>Colorectal cancer</x:v>
      </x:c>
      <x:c r="C41" s="14" t="str">
        <x:v>Human</x:v>
      </x:c>
      <x:c r="D41" s="14" t="str">
        <x:v>Koncina</x:v>
      </x:c>
      <x:c r="E41" s="18" t="n">
        <x:v>2023</x:v>
      </x:c>
      <x:c r="F41" s="14" t="str">
        <x:v>A pan-cancer single-cell RNA-seq analysis reveals the heterogeneity of cancer-associated fibroblasts in colorectal cancer</x:v>
      </x:c>
      <x:c r="G41" s="14" t="str">
        <x:v>Nature Communications</x:v>
      </x:c>
      <x:c r="H41" s="14" t="str">
        <x:v>Integrated scRNA-seq</x:v>
      </x:c>
      <x:c r="I41" s="14" t="str">
        <x:v>Explicit subtype framework</x:v>
      </x:c>
      <x:c r="J41" s="14" t="str">
        <x:v>5+</x:v>
      </x:c>
      <x:c r="K41" s="14" t="str">
        <x:v>Multiple conserved and CRC-enriched CAF phenotypes</x:v>
      </x:c>
      <x:c r="L41" s="14" t="str">
        <x:v>A</x:v>
      </x:c>
      <x:c r="M41" s="14" t="str">
        <x:v>Supplementary marker tables and processed atlas</x:v>
      </x:c>
      <x:c r="N41" s="14" t="str">
        <x:v>Subtype genes are retrievable from the supplementary data.</x:v>
      </x:c>
      <x:c r="O41" s="14" t="str">
        <x:v>10.1038/s41467-023-39953-w</x:v>
      </x:c>
      <x:c r="P41" s="14" t="str">
        <x:v>https://doi.org/10.1038/s41467-023-39953-w</x:v>
      </x:c>
      <x:c r="Q41" s="14" t="str">
        <x:v>Included</x:v>
      </x:c>
    </x:row>
    <x:row r="42">
      <x:c r="A42" s="14" t="str">
        <x:v>Cancer</x:v>
      </x:c>
      <x:c r="B42" s="14" t="str">
        <x:v>Locally advanced rectal cancer</x:v>
      </x:c>
      <x:c r="C42" s="14" t="str">
        <x:v>Human</x:v>
      </x:c>
      <x:c r="D42" s="14" t="str">
        <x:v>Qin</x:v>
      </x:c>
      <x:c r="E42" s="18" t="n">
        <x:v>2023</x:v>
      </x:c>
      <x:c r="F42" s="14" t="str">
        <x:v>Cancer-associated fibroblasts undergoing neoadjuvant chemotherapy suppress CD8+ T-cell activity through interleukin-6 in rectal cancer</x:v>
      </x:c>
      <x:c r="G42" s="14" t="str">
        <x:v>Cell Reports Medicine</x:v>
      </x:c>
      <x:c r="H42" s="14" t="str">
        <x:v>scRNA-seq before and after therapy</x:v>
      </x:c>
      <x:c r="I42" s="14" t="str">
        <x:v>Explicit subtype framework</x:v>
      </x:c>
      <x:c r="J42" s="14" t="str">
        <x:v>3+</x:v>
      </x:c>
      <x:c r="K42" s="14" t="str">
        <x:v>Pretreatment and treatment-remodeled CAF subsets</x:v>
      </x:c>
      <x:c r="L42" s="14" t="str">
        <x:v>A</x:v>
      </x:c>
      <x:c r="M42" s="14" t="str">
        <x:v>Supplementary CAF subset markers</x:v>
      </x:c>
      <x:c r="N42" s="14" t="str">
        <x:v>The paper provides subtype markers for therapy-associated CAF states.</x:v>
      </x:c>
      <x:c r="O42" s="14" t="str">
        <x:v>10.1016/j.xcrm.2023.101231</x:v>
      </x:c>
      <x:c r="P42" s="14" t="str">
        <x:v>https://doi.org/10.1016/j.xcrm.2023.101231</x:v>
      </x:c>
      <x:c r="Q42" s="14" t="str">
        <x:v>Included</x:v>
      </x:c>
    </x:row>
    <x:row r="43">
      <x:c r="A43" s="14" t="str">
        <x:v>Cancer</x:v>
      </x:c>
      <x:c r="B43" s="14" t="str">
        <x:v>Colorectal cancer liver metastasis</x:v>
      </x:c>
      <x:c r="C43" s="14" t="str">
        <x:v>Human</x:v>
      </x:c>
      <x:c r="D43" s="14" t="str">
        <x:v>Wang</x:v>
      </x:c>
      <x:c r="E43" s="18" t="n">
        <x:v>2023</x:v>
      </x:c>
      <x:c r="F43" s="14" t="str">
        <x:v>Single-cell and spatial analysis reveals interaction of FAP+ fibroblasts and SPP1+ macrophages in colorectal cancer liver metastasis</x:v>
      </x:c>
      <x:c r="G43" s="14" t="str">
        <x:v>Science Advances</x:v>
      </x:c>
      <x:c r="H43" s="14" t="str">
        <x:v>scRNA-seq plus spatial transcriptomics</x:v>
      </x:c>
      <x:c r="I43" s="14" t="str">
        <x:v>Atlas-derived taxonomy</x:v>
      </x:c>
      <x:c r="J43" s="14" t="str">
        <x:v>3+</x:v>
      </x:c>
      <x:c r="K43" s="14" t="str">
        <x:v>Multiple fibroblast populations including FAP-dominant states</x:v>
      </x:c>
      <x:c r="L43" s="14" t="str">
        <x:v>A</x:v>
      </x:c>
      <x:c r="M43" s="14" t="str">
        <x:v>Supplementary marker and spatial-signature tables</x:v>
      </x:c>
      <x:c r="N43" s="14" t="str">
        <x:v>Subtype-level markers can be recovered directly.</x:v>
      </x:c>
      <x:c r="O43" s="14" t="str">
        <x:v>10.1126/sciadv.adf5464</x:v>
      </x:c>
      <x:c r="P43" s="14" t="str">
        <x:v>https://doi.org/10.1126/sciadv.adf5464</x:v>
      </x:c>
      <x:c r="Q43" s="14" t="str">
        <x:v>Included</x:v>
      </x:c>
    </x:row>
    <x:row r="44">
      <x:c r="A44" s="14" t="str">
        <x:v>Cancer</x:v>
      </x:c>
      <x:c r="B44" s="14" t="str">
        <x:v>Colorectal cancer</x:v>
      </x:c>
      <x:c r="C44" s="14" t="str">
        <x:v>Human</x:v>
      </x:c>
      <x:c r="D44" s="14" t="str">
        <x:v>Khaliq</x:v>
      </x:c>
      <x:c r="E44" s="18" t="n">
        <x:v>2022</x:v>
      </x:c>
      <x:c r="F44" s="14" t="str">
        <x:v>Refining colorectal cancer classification and clinical stratification through a single-cell atlas</x:v>
      </x:c>
      <x:c r="G44" s="14" t="str">
        <x:v>Genome Biology</x:v>
      </x:c>
      <x:c r="H44" s="14" t="str">
        <x:v>Integrated scRNA-seq and bulk deconvolution</x:v>
      </x:c>
      <x:c r="I44" s="14" t="str">
        <x:v>Explicit subtype framework</x:v>
      </x:c>
      <x:c r="J44" s="14" t="str">
        <x:v>6</x:v>
      </x:c>
      <x:c r="K44" s="14" t="str">
        <x:v>Five CAF-S1 subtypes plus CAF-S4</x:v>
      </x:c>
      <x:c r="L44" s="14" t="str">
        <x:v>A</x:v>
      </x:c>
      <x:c r="M44" s="14" t="str">
        <x:v>Additional file with CAF signatures</x:v>
      </x:c>
      <x:c r="N44" s="14" t="str">
        <x:v>The paper reports gene signatures for all five CAF-S1 subtypes and CAF-S4.</x:v>
      </x:c>
      <x:c r="O44" s="14" t="str">
        <x:v>10.1186/s13059-022-02677-z</x:v>
      </x:c>
      <x:c r="P44" s="14" t="str">
        <x:v>https://doi.org/10.1186/s13059-022-02677-z</x:v>
      </x:c>
      <x:c r="Q44" s="14" t="str">
        <x:v>Included</x:v>
      </x:c>
    </x:row>
    <x:row r="45">
      <x:c r="A45" s="14" t="str">
        <x:v>Cancer</x:v>
      </x:c>
      <x:c r="B45" s="14" t="str">
        <x:v>Colorectal cancer</x:v>
      </x:c>
      <x:c r="C45" s="14" t="str">
        <x:v>Human</x:v>
      </x:c>
      <x:c r="D45" s="14" t="str">
        <x:v>Wang</x:v>
      </x:c>
      <x:c r="E45" s="18" t="n">
        <x:v>2025</x:v>
      </x:c>
      <x:c r="F45" s="14" t="str">
        <x:v>Single-cell and spatial-resolved profiling reveals cancer-associated fibroblast heterogeneity in colorectal cancer metabolic subtypes</x:v>
      </x:c>
      <x:c r="G45" s="14" t="str">
        <x:v>Journal of Translational Medicine</x:v>
      </x:c>
      <x:c r="H45" s="14" t="str">
        <x:v>Integrated scRNA-seq plus spatial transcriptomics</x:v>
      </x:c>
      <x:c r="I45" s="14" t="str">
        <x:v>Atlas-derived taxonomy</x:v>
      </x:c>
      <x:c r="J45" s="14" t="str">
        <x:v>3+</x:v>
      </x:c>
      <x:c r="K45" s="14" t="str">
        <x:v>SFRP2+ and other CAF clusters across metabolic subtypes</x:v>
      </x:c>
      <x:c r="L45" s="14" t="str">
        <x:v>B</x:v>
      </x:c>
      <x:c r="M45" s="14" t="str">
        <x:v>Supplementary cluster-marker tables</x:v>
      </x:c>
      <x:c r="N45" s="14" t="str">
        <x:v>Multiple CAF clusters are defined; exact reusable signatures require extraction.</x:v>
      </x:c>
      <x:c r="O45" s="14" t="str">
        <x:v>10.1186/s12967-025-06103-3</x:v>
      </x:c>
      <x:c r="P45" s="14" t="str">
        <x:v>https://doi.org/10.1186/s12967-025-06103-3</x:v>
      </x:c>
      <x:c r="Q45" s="14" t="str">
        <x:v>Included</x:v>
      </x:c>
    </x:row>
    <x:row r="46">
      <x:c r="A46" s="14" t="str">
        <x:v>Cancer</x:v>
      </x:c>
      <x:c r="B46" s="14" t="str">
        <x:v>High-grade serous ovarian cancer</x:v>
      </x:c>
      <x:c r="C46" s="14" t="str">
        <x:v>Human</x:v>
      </x:c>
      <x:c r="D46" s="14" t="str">
        <x:v>Olbrecht</x:v>
      </x:c>
      <x:c r="E46" s="18" t="n">
        <x:v>2021</x:v>
      </x:c>
      <x:c r="F46" s="14" t="str">
        <x:v>High-grade serous tubo-ovarian cancer refined with single-cell RNA sequencing: specific cell subtypes influence survival and determine molecular subtype classification</x:v>
      </x:c>
      <x:c r="G46" s="14" t="str">
        <x:v>Genome Medicine</x:v>
      </x:c>
      <x:c r="H46" s="14" t="str">
        <x:v>scRNA-seq</x:v>
      </x:c>
      <x:c r="I46" s="14" t="str">
        <x:v>Atlas-derived taxonomy</x:v>
      </x:c>
      <x:c r="J46" s="14" t="str">
        <x:v>5+</x:v>
      </x:c>
      <x:c r="K46" s="14" t="str">
        <x:v>Multiple fibroblast and myofibroblast subtypes</x:v>
      </x:c>
      <x:c r="L46" s="14" t="str">
        <x:v>A</x:v>
      </x:c>
      <x:c r="M46" s="14" t="str">
        <x:v>Supplementary cluster-marker tables</x:v>
      </x:c>
      <x:c r="N46" s="14" t="str">
        <x:v>Fibroblast subtypes and marker genes are directly recoverable.</x:v>
      </x:c>
      <x:c r="O46" s="14" t="str">
        <x:v>10.1186/s13073-021-00922-x</x:v>
      </x:c>
      <x:c r="P46" s="14" t="str">
        <x:v>https://doi.org/10.1186/s13073-021-00922-x</x:v>
      </x:c>
      <x:c r="Q46" s="14" t="str">
        <x:v>Included</x:v>
      </x:c>
    </x:row>
    <x:row r="47">
      <x:c r="A47" s="14" t="str">
        <x:v>Cancer</x:v>
      </x:c>
      <x:c r="B47" s="14" t="str">
        <x:v>Ovarian cancer</x:v>
      </x:c>
      <x:c r="C47" s="14" t="str">
        <x:v>Human</x:v>
      </x:c>
      <x:c r="D47" s="14" t="str">
        <x:v>Hornburg</x:v>
      </x:c>
      <x:c r="E47" s="18" t="n">
        <x:v>2021</x:v>
      </x:c>
      <x:c r="F47" s="14" t="str">
        <x:v>Single-cell dissection of cellular components and interactions in ovarian cancer</x:v>
      </x:c>
      <x:c r="G47" s="14" t="str">
        <x:v>Cancer Cell</x:v>
      </x:c>
      <x:c r="H47" s="14" t="str">
        <x:v>scRNA-seq</x:v>
      </x:c>
      <x:c r="I47" s="14" t="str">
        <x:v>Atlas-derived taxonomy</x:v>
      </x:c>
      <x:c r="J47" s="14" t="str">
        <x:v>3+</x:v>
      </x:c>
      <x:c r="K47" s="14" t="str">
        <x:v>Multiple CAF populations with distinct matrix and immune-interacting programs</x:v>
      </x:c>
      <x:c r="L47" s="14" t="str">
        <x:v>A</x:v>
      </x:c>
      <x:c r="M47" s="14" t="str">
        <x:v>Supplementary marker and gene-program tables</x:v>
      </x:c>
      <x:c r="N47" s="14" t="str">
        <x:v>Subtype genes are supplied in the study resources.</x:v>
      </x:c>
      <x:c r="O47" s="14" t="str">
        <x:v>10.1016/j.ccell.2021.04.004</x:v>
      </x:c>
      <x:c r="P47" s="14" t="str">
        <x:v>https://doi.org/10.1016/j.ccell.2021.04.004</x:v>
      </x:c>
      <x:c r="Q47" s="14" t="str">
        <x:v>Included</x:v>
      </x:c>
    </x:row>
    <x:row r="48">
      <x:c r="A48" s="14" t="str">
        <x:v>Cancer</x:v>
      </x:c>
      <x:c r="B48" s="14" t="str">
        <x:v>Metastatic high-grade serous ovarian cancer</x:v>
      </x:c>
      <x:c r="C48" s="14" t="str">
        <x:v>Human</x:v>
      </x:c>
      <x:c r="D48" s="14" t="str">
        <x:v>Deng</x:v>
      </x:c>
      <x:c r="E48" s="18" t="n">
        <x:v>2022</x:v>
      </x:c>
      <x:c r="F48" s="14" t="str">
        <x:v>Single-cell transcriptomic analysis of the tumor microenvironment in metastatic high-grade serous ovarian cancer</x:v>
      </x:c>
      <x:c r="G48" s="14" t="str">
        <x:v>Frontiers in Immunology</x:v>
      </x:c>
      <x:c r="H48" s="14" t="str">
        <x:v>scRNA-seq</x:v>
      </x:c>
      <x:c r="I48" s="14" t="str">
        <x:v>Atlas-derived taxonomy</x:v>
      </x:c>
      <x:c r="J48" s="14" t="str">
        <x:v>3+</x:v>
      </x:c>
      <x:c r="K48" s="14" t="str">
        <x:v>Multiple metastatic-site-associated fibroblast clusters</x:v>
      </x:c>
      <x:c r="L48" s="14" t="str">
        <x:v>B</x:v>
      </x:c>
      <x:c r="M48" s="14" t="str">
        <x:v>Supplementary cluster-marker tables</x:v>
      </x:c>
      <x:c r="N48" s="14" t="str">
        <x:v>Gene sets require extraction from the fibroblast subclustering results.</x:v>
      </x:c>
      <x:c r="O48" s="14" t="str">
        <x:v>10.3389/fimmu.2022.923194</x:v>
      </x:c>
      <x:c r="P48" s="14" t="str">
        <x:v>https://doi.org/10.3389/fimmu.2022.923194</x:v>
      </x:c>
      <x:c r="Q48" s="14" t="str">
        <x:v>Included</x:v>
      </x:c>
    </x:row>
    <x:row r="49">
      <x:c r="A49" s="14" t="str">
        <x:v>Cancer</x:v>
      </x:c>
      <x:c r="B49" s="14" t="str">
        <x:v>High-grade serous ovarian cancer</x:v>
      </x:c>
      <x:c r="C49" s="14" t="str">
        <x:v>Human</x:v>
      </x:c>
      <x:c r="D49" s="14" t="str">
        <x:v>Loret</x:v>
      </x:c>
      <x:c r="E49" s="18" t="n">
        <x:v>2022</x:v>
      </x:c>
      <x:c r="F49" s="14" t="str">
        <x:v>Cancer-associated fibroblast heterogeneity in high-grade serous ovarian cancers</x:v>
      </x:c>
      <x:c r="G49" s="14" t="str">
        <x:v>Molecular Cancer Research</x:v>
      </x:c>
      <x:c r="H49" s="14" t="str">
        <x:v>Transcriptomics of purified CAF populations</x:v>
      </x:c>
      <x:c r="I49" s="14" t="str">
        <x:v>Bulk purified-cell taxonomy</x:v>
      </x:c>
      <x:c r="J49" s="14" t="str">
        <x:v>3+</x:v>
      </x:c>
      <x:c r="K49" s="14" t="str">
        <x:v>Distinct ovarian CAF transcriptional populations</x:v>
      </x:c>
      <x:c r="L49" s="14" t="str">
        <x:v>A</x:v>
      </x:c>
      <x:c r="M49" s="14" t="str">
        <x:v>Supplementary subtype gene tables</x:v>
      </x:c>
      <x:c r="N49" s="14" t="str">
        <x:v>Purified-cell transcriptomic signatures are available.</x:v>
      </x:c>
      <x:c r="O49" s="14" t="str">
        <x:v>10.1158/1541-7786.MCR-21-0565</x:v>
      </x:c>
      <x:c r="P49" s="14" t="str">
        <x:v>https://doi.org/10.1158/1541-7786.MCR-21-0565</x:v>
      </x:c>
      <x:c r="Q49" s="14" t="str">
        <x:v>Included</x:v>
      </x:c>
    </x:row>
    <x:row r="50">
      <x:c r="A50" s="14" t="str">
        <x:v>Cancer</x:v>
      </x:c>
      <x:c r="B50" s="14" t="str">
        <x:v>Ovarian cancer</x:v>
      </x:c>
      <x:c r="C50" s="14" t="str">
        <x:v>Human</x:v>
      </x:c>
      <x:c r="D50" s="14" t="str">
        <x:v>Zhao</x:v>
      </x:c>
      <x:c r="E50" s="18" t="n">
        <x:v>2022</x:v>
      </x:c>
      <x:c r="F50" s="14" t="str">
        <x:v>Single-cell analysis reveals distinct cancer-associated fibroblast subtypes in ovarian cancer</x:v>
      </x:c>
      <x:c r="G50" s="14" t="str">
        <x:v>Computational and Structural Biotechnology Journal</x:v>
      </x:c>
      <x:c r="H50" s="14" t="str">
        <x:v>Integrated scRNA-seq</x:v>
      </x:c>
      <x:c r="I50" s="14" t="str">
        <x:v>Explicit subtype framework</x:v>
      </x:c>
      <x:c r="J50" s="14" t="str">
        <x:v>3+</x:v>
      </x:c>
      <x:c r="K50" s="14" t="str">
        <x:v>Multiple ovarian CAF subtypes with prognostic associations</x:v>
      </x:c>
      <x:c r="L50" s="14" t="str">
        <x:v>B</x:v>
      </x:c>
      <x:c r="M50" s="14" t="str">
        <x:v>Supplementary marker tables and public processed datasets</x:v>
      </x:c>
      <x:c r="N50" s="14" t="str">
        <x:v>Subtype genes are retrievable, but the exact consolidated signature table needs audit.</x:v>
      </x:c>
      <x:c r="O50" s="14" t="str">
        <x:v>10.1016/j.csbj.2022.11.025</x:v>
      </x:c>
      <x:c r="P50" s="14" t="str">
        <x:v>https://doi.org/10.1016/j.csbj.2022.11.025</x:v>
      </x:c>
      <x:c r="Q50" s="14" t="str">
        <x:v>Included</x:v>
      </x:c>
    </x:row>
    <x:row r="51">
      <x:c r="A51" s="14" t="str">
        <x:v>Cancer</x:v>
      </x:c>
      <x:c r="B51" s="14" t="str">
        <x:v>Bladder urothelial carcinoma</x:v>
      </x:c>
      <x:c r="C51" s="14" t="str">
        <x:v>Human</x:v>
      </x:c>
      <x:c r="D51" s="14" t="str">
        <x:v>Chen</x:v>
      </x:c>
      <x:c r="E51" s="18" t="n">
        <x:v>2020</x:v>
      </x:c>
      <x:c r="F51" s="14" t="str">
        <x:v>Single-cell transcriptomics reveals immune and stromal cell heterogeneity in bladder urothelial carcinoma</x:v>
      </x:c>
      <x:c r="G51" s="14" t="str">
        <x:v>Nature Communications</x:v>
      </x:c>
      <x:c r="H51" s="14" t="str">
        <x:v>scRNA-seq</x:v>
      </x:c>
      <x:c r="I51" s="14" t="str">
        <x:v>Atlas-derived taxonomy</x:v>
      </x:c>
      <x:c r="J51" s="14" t="str">
        <x:v>3+</x:v>
      </x:c>
      <x:c r="K51" s="14" t="str">
        <x:v>Multiple CAF and stromal states</x:v>
      </x:c>
      <x:c r="L51" s="14" t="str">
        <x:v>A</x:v>
      </x:c>
      <x:c r="M51" s="14" t="str">
        <x:v>Supplementary cluster-marker tables</x:v>
      </x:c>
      <x:c r="N51" s="14" t="str">
        <x:v>Fibroblast and stromal genes are available by cluster.</x:v>
      </x:c>
      <x:c r="O51" s="14" t="str">
        <x:v>10.1038/s41467-020-18916-5</x:v>
      </x:c>
      <x:c r="P51" s="14" t="str">
        <x:v>https://doi.org/10.1038/s41467-020-18916-5</x:v>
      </x:c>
      <x:c r="Q51" s="14" t="str">
        <x:v>Included</x:v>
      </x:c>
    </x:row>
    <x:row r="52">
      <x:c r="A52" s="14" t="str">
        <x:v>Cancer</x:v>
      </x:c>
      <x:c r="B52" s="14" t="str">
        <x:v>Muscle-invasive bladder cancer</x:v>
      </x:c>
      <x:c r="C52" s="14" t="str">
        <x:v>Human</x:v>
      </x:c>
      <x:c r="D52" s="14" t="str">
        <x:v>Liu</x:v>
      </x:c>
      <x:c r="E52" s="18" t="n">
        <x:v>2025</x:v>
      </x:c>
      <x:c r="F52" s="14" t="str">
        <x:v>Single-cell RNA sequencing reveals a fibroblast gene signature that promotes T-cell infiltration in muscle-invasive bladder cancer</x:v>
      </x:c>
      <x:c r="G52" s="14" t="str">
        <x:v>Communications Biology</x:v>
      </x:c>
      <x:c r="H52" s="14" t="str">
        <x:v>scRNA-seq</x:v>
      </x:c>
      <x:c r="I52" s="14" t="str">
        <x:v>Explicit subtype framework</x:v>
      </x:c>
      <x:c r="J52" s="14" t="str">
        <x:v>13</x:v>
      </x:c>
      <x:c r="K52" s="14" t="str">
        <x:v>Thirteen transcriptionally distinct fibroblast clusters</x:v>
      </x:c>
      <x:c r="L52" s="14" t="str">
        <x:v>A</x:v>
      </x:c>
      <x:c r="M52" s="14" t="str">
        <x:v>Supplementary differential-expression tables</x:v>
      </x:c>
      <x:c r="N52" s="14" t="str">
        <x:v>The paper explicitly reports 13 clusters.</x:v>
      </x:c>
      <x:c r="O52" s="14" t="str">
        <x:v>10.1038/s42003-025-08094-9</x:v>
      </x:c>
      <x:c r="P52" s="14" t="str">
        <x:v>https://doi.org/10.1038/s42003-025-08094-9</x:v>
      </x:c>
      <x:c r="Q52" s="14" t="str">
        <x:v>Included</x:v>
      </x:c>
    </x:row>
    <x:row r="53">
      <x:c r="A53" s="14" t="str">
        <x:v>Cancer</x:v>
      </x:c>
      <x:c r="B53" s="14" t="str">
        <x:v>Bladder cancer</x:v>
      </x:c>
      <x:c r="C53" s="14" t="str">
        <x:v>Human</x:v>
      </x:c>
      <x:c r="D53" s="14" t="str">
        <x:v>Qin</x:v>
      </x:c>
      <x:c r="E53" s="18" t="n">
        <x:v>2023</x:v>
      </x:c>
      <x:c r="F53" s="14" t="str">
        <x:v>Single-cell analysis identifies cancer-associated fibroblast subtypes and prognostic signatures in bladder cancer</x:v>
      </x:c>
      <x:c r="G53" s="14" t="str">
        <x:v>iScience</x:v>
      </x:c>
      <x:c r="H53" s="14" t="str">
        <x:v>Integrated scRNA-seq</x:v>
      </x:c>
      <x:c r="I53" s="14" t="str">
        <x:v>Explicit subtype framework</x:v>
      </x:c>
      <x:c r="J53" s="14" t="str">
        <x:v>3</x:v>
      </x:c>
      <x:c r="K53" s="14" t="str">
        <x:v>Three CAF subtypes</x:v>
      </x:c>
      <x:c r="L53" s="14" t="str">
        <x:v>B</x:v>
      </x:c>
      <x:c r="M53" s="14" t="str">
        <x:v>Supplementary subtype marker tables</x:v>
      </x:c>
      <x:c r="N53" s="14" t="str">
        <x:v>Verify whether the final labels are cell states or patient classes before direct reuse.</x:v>
      </x:c>
      <x:c r="O53" s="14" t="str">
        <x:v>10.1016/j.isci.2023.107722</x:v>
      </x:c>
      <x:c r="P53" s="14" t="str">
        <x:v>https://doi.org/10.1016/j.isci.2023.107722</x:v>
      </x:c>
      <x:c r="Q53" s="14" t="str">
        <x:v>Included</x:v>
      </x:c>
    </x:row>
    <x:row r="54">
      <x:c r="A54" s="14" t="str">
        <x:v>Cancer</x:v>
      </x:c>
      <x:c r="B54" s="14" t="str">
        <x:v>Prostate cancer</x:v>
      </x:c>
      <x:c r="C54" s="14" t="str">
        <x:v>Human</x:v>
      </x:c>
      <x:c r="D54" s="14" t="str">
        <x:v>Pan</x:v>
      </x:c>
      <x:c r="E54" s="18" t="n">
        <x:v>2023</x:v>
      </x:c>
      <x:c r="F54" s="14" t="str">
        <x:v>Single-cell transcriptomics reveals heterogeneity of cancer-associated fibroblasts in prostate cancer</x:v>
      </x:c>
      <x:c r="G54" s="14" t="str">
        <x:v>Frontiers in Immunology</x:v>
      </x:c>
      <x:c r="H54" s="14" t="str">
        <x:v>Integrated scRNA-seq</x:v>
      </x:c>
      <x:c r="I54" s="14" t="str">
        <x:v>Explicit subtype framework</x:v>
      </x:c>
      <x:c r="J54" s="14" t="str">
        <x:v>3+</x:v>
      </x:c>
      <x:c r="K54" s="14" t="str">
        <x:v>Multiple prostate CAF subtypes</x:v>
      </x:c>
      <x:c r="L54" s="14" t="str">
        <x:v>B</x:v>
      </x:c>
      <x:c r="M54" s="14" t="str">
        <x:v>Supplementary cluster-marker tables</x:v>
      </x:c>
      <x:c r="N54" s="14" t="str">
        <x:v>Subtype genes are recoverable from supplementary data.</x:v>
      </x:c>
      <x:c r="O54" s="14" t="str">
        <x:v>10.3389/fimmu.2023.1133160</x:v>
      </x:c>
      <x:c r="P54" s="14" t="str">
        <x:v>https://doi.org/10.3389/fimmu.2023.1133160</x:v>
      </x:c>
      <x:c r="Q54" s="14" t="str">
        <x:v>Included</x:v>
      </x:c>
    </x:row>
    <x:row r="55">
      <x:c r="A55" s="14" t="str">
        <x:v>Cancer</x:v>
      </x:c>
      <x:c r="B55" s="14" t="str">
        <x:v>Prostate cancer</x:v>
      </x:c>
      <x:c r="C55" s="14" t="str">
        <x:v>Human</x:v>
      </x:c>
      <x:c r="D55" s="14" t="str">
        <x:v>Liu</x:v>
      </x:c>
      <x:c r="E55" s="18" t="n">
        <x:v>2023</x:v>
      </x:c>
      <x:c r="F55" s="14" t="str">
        <x:v>Single-cell analysis of cancer-associated fibroblasts in prostate cancer</x:v>
      </x:c>
      <x:c r="G55" s="14" t="str">
        <x:v>Medicine</x:v>
      </x:c>
      <x:c r="H55" s="14" t="str">
        <x:v>Integrated scRNA-seq</x:v>
      </x:c>
      <x:c r="I55" s="14" t="str">
        <x:v>Explicit subtype framework</x:v>
      </x:c>
      <x:c r="J55" s="14" t="str">
        <x:v>3+</x:v>
      </x:c>
      <x:c r="K55" s="14" t="str">
        <x:v>Multiple prostate CAF populations</x:v>
      </x:c>
      <x:c r="L55" s="14" t="str">
        <x:v>B</x:v>
      </x:c>
      <x:c r="M55" s="14" t="str">
        <x:v>Supplementary marker tables and public datasets</x:v>
      </x:c>
      <x:c r="N55" s="14" t="str">
        <x:v>A computational taxonomy; marker lists are extractable.</x:v>
      </x:c>
      <x:c r="O55" s="14" t="str">
        <x:v>10.1097/MD.0000000000034611</x:v>
      </x:c>
      <x:c r="P55" s="14" t="str">
        <x:v>https://doi.org/10.1097/MD.0000000000034611</x:v>
      </x:c>
      <x:c r="Q55" s="14" t="str">
        <x:v>Included</x:v>
      </x:c>
    </x:row>
    <x:row r="56">
      <x:c r="A56" s="14" t="str">
        <x:v>Cancer</x:v>
      </x:c>
      <x:c r="B56" s="14" t="str">
        <x:v>Prostate cancer</x:v>
      </x:c>
      <x:c r="C56" s="14" t="str">
        <x:v>Human</x:v>
      </x:c>
      <x:c r="D56" s="14" t="str">
        <x:v>Blanke</x:v>
      </x:c>
      <x:c r="E56" s="18" t="n">
        <x:v>2026</x:v>
      </x:c>
      <x:c r="F56" s="14" t="str">
        <x:v>Single-cell and spatial profiling identifies distinct fibroblast populations in prostate cancer</x:v>
      </x:c>
      <x:c r="G56" s="14" t="str">
        <x:v>The Journal of Pathology</x:v>
      </x:c>
      <x:c r="H56" s="14" t="str">
        <x:v>scRNA-seq plus spatial profiling</x:v>
      </x:c>
      <x:c r="I56" s="14" t="str">
        <x:v>Explicit subtype framework</x:v>
      </x:c>
      <x:c r="J56" s="14" t="str">
        <x:v>3+</x:v>
      </x:c>
      <x:c r="K56" s="14" t="str">
        <x:v>Distinct prostate fibroblast and CAF populations</x:v>
      </x:c>
      <x:c r="L56" s="14" t="str">
        <x:v>B</x:v>
      </x:c>
      <x:c r="M56" s="14" t="str">
        <x:v>Supplementary marker tables</x:v>
      </x:c>
      <x:c r="N56" s="14" t="str">
        <x:v>Recent 2026 study; exact reusable table should be audited.</x:v>
      </x:c>
      <x:c r="O56" s="14" t="str">
        <x:v>10.1002/path.70023</x:v>
      </x:c>
      <x:c r="P56" s="14" t="str">
        <x:v>https://doi.org/10.1002/path.70023</x:v>
      </x:c>
      <x:c r="Q56" s="14" t="str">
        <x:v>Included</x:v>
      </x:c>
    </x:row>
    <x:row r="57">
      <x:c r="A57" s="14" t="str">
        <x:v>Cancer</x:v>
      </x:c>
      <x:c r="B57" s="14" t="str">
        <x:v>Hepatocellular carcinoma</x:v>
      </x:c>
      <x:c r="C57" s="14" t="str">
        <x:v>Human</x:v>
      </x:c>
      <x:c r="D57" s="14" t="str">
        <x:v>Wang</x:v>
      </x:c>
      <x:c r="E57" s="18" t="n">
        <x:v>2023</x:v>
      </x:c>
      <x:c r="F57" s="14" t="str">
        <x:v>Single-cell transcriptome sequencing reveals spatial distribution of IL34+ cancer-associated fibroblasts in hepatocellular carcinoma tumor microenvironment</x:v>
      </x:c>
      <x:c r="G57" s="14" t="str">
        <x:v>npj Precision Oncology</x:v>
      </x:c>
      <x:c r="H57" s="14" t="str">
        <x:v>scRNA-seq plus spatial validation</x:v>
      </x:c>
      <x:c r="I57" s="14" t="str">
        <x:v>Explicit subtype framework</x:v>
      </x:c>
      <x:c r="J57" s="14" t="str">
        <x:v>3+</x:v>
      </x:c>
      <x:c r="K57" s="14" t="str">
        <x:v>Multiple HCC CAF populations including IL34+ CAFs</x:v>
      </x:c>
      <x:c r="L57" s="14" t="str">
        <x:v>A</x:v>
      </x:c>
      <x:c r="M57" s="14" t="str">
        <x:v>Supplementary cluster-marker tables</x:v>
      </x:c>
      <x:c r="N57" s="14" t="str">
        <x:v>The study subclusters fibroblasts and provides markers.</x:v>
      </x:c>
      <x:c r="O57" s="14" t="str">
        <x:v>10.1038/s41698-023-00483-9</x:v>
      </x:c>
      <x:c r="P57" s="14" t="str">
        <x:v>https://doi.org/10.1038/s41698-023-00483-9</x:v>
      </x:c>
      <x:c r="Q57" s="14" t="str">
        <x:v>Included</x:v>
      </x:c>
    </x:row>
    <x:row r="58">
      <x:c r="A58" s="14" t="str">
        <x:v>Cancer</x:v>
      </x:c>
      <x:c r="B58" s="14" t="str">
        <x:v>Hepatocellular carcinoma</x:v>
      </x:c>
      <x:c r="C58" s="14" t="str">
        <x:v>Human</x:v>
      </x:c>
      <x:c r="D58" s="14" t="str">
        <x:v>Liu</x:v>
      </x:c>
      <x:c r="E58" s="18" t="n">
        <x:v>2025</x:v>
      </x:c>
      <x:c r="F58" s="14" t="str">
        <x:v>Single-cell and spatial transcriptomics reveal functional heterogeneity of cancer-associated fibroblasts in hepatocellular carcinoma</x:v>
      </x:c>
      <x:c r="G58" s="14" t="str">
        <x:v>Journal of Translational Medicine</x:v>
      </x:c>
      <x:c r="H58" s="14" t="str">
        <x:v>scRNA-seq plus spatial transcriptomics</x:v>
      </x:c>
      <x:c r="I58" s="14" t="str">
        <x:v>Explicit subtype framework</x:v>
      </x:c>
      <x:c r="J58" s="14" t="str">
        <x:v>3</x:v>
      </x:c>
      <x:c r="K58" s="14" t="str">
        <x:v>MMP11+, HLA-DRB1+ and VEGFA+ CAFs</x:v>
      </x:c>
      <x:c r="L58" s="14" t="str">
        <x:v>A</x:v>
      </x:c>
      <x:c r="M58" s="14" t="str">
        <x:v>Supplementary Table 2</x:v>
      </x:c>
      <x:c r="N58" s="14" t="str">
        <x:v>Three named CAF signatures are directly available.</x:v>
      </x:c>
      <x:c r="O58" s="14" t="str">
        <x:v>10.1186/s12967-025-06192-0</x:v>
      </x:c>
      <x:c r="P58" s="14" t="str">
        <x:v>https://doi.org/10.1186/s12967-025-06192-0</x:v>
      </x:c>
      <x:c r="Q58" s="14" t="str">
        <x:v>Included</x:v>
      </x:c>
    </x:row>
    <x:row r="59">
      <x:c r="A59" s="14" t="str">
        <x:v>Cancer</x:v>
      </x:c>
      <x:c r="B59" s="14" t="str">
        <x:v>Hepatocellular carcinoma</x:v>
      </x:c>
      <x:c r="C59" s="14" t="str">
        <x:v>Human</x:v>
      </x:c>
      <x:c r="D59" s="14" t="str">
        <x:v>Jiang</x:v>
      </x:c>
      <x:c r="E59" s="18" t="n">
        <x:v>2026</x:v>
      </x:c>
      <x:c r="F59" s="14" t="str">
        <x:v>Lineage-specific fibroblast programs organize stromal ecosystems in hepatocellular carcinoma</x:v>
      </x:c>
      <x:c r="G59" s="14" t="str">
        <x:v>Nature Communications</x:v>
      </x:c>
      <x:c r="H59" s="14" t="str">
        <x:v>Integrated scRNA-seq plus spatial data</x:v>
      </x:c>
      <x:c r="I59" s="14" t="str">
        <x:v>Atlas-derived taxonomy</x:v>
      </x:c>
      <x:c r="J59" s="14" t="str">
        <x:v>3+</x:v>
      </x:c>
      <x:c r="K59" s="14" t="str">
        <x:v>Distinct lineage-associated HCC fibroblast subtypes</x:v>
      </x:c>
      <x:c r="L59" s="14" t="str">
        <x:v>B</x:v>
      </x:c>
      <x:c r="M59" s="14" t="str">
        <x:v>Supplementary marker tables and integrated atlas</x:v>
      </x:c>
      <x:c r="N59" s="14" t="str">
        <x:v>Recent 2026 paper; exact table-level audit remains advisable.</x:v>
      </x:c>
      <x:c r="O59" s="14" t="str"/>
      <x:c r="P59" s="14" t="str">
        <x:v>https://pubmed.ncbi.nlm.nih.gov/?term=%22Lineage-specific+fibroblast+programs+organize+stromal+ecosystems+in+hepatocellular+carcinoma%22</x:v>
      </x:c>
      <x:c r="Q59" s="14" t="str">
        <x:v>Included</x:v>
      </x:c>
    </x:row>
    <x:row r="60">
      <x:c r="A60" s="14" t="str">
        <x:v>Cancer</x:v>
      </x:c>
      <x:c r="B60" s="14" t="str">
        <x:v>Intrahepatic cholangiocarcinoma</x:v>
      </x:c>
      <x:c r="C60" s="14" t="str">
        <x:v>Human</x:v>
      </x:c>
      <x:c r="D60" s="14" t="str">
        <x:v>Zhang</x:v>
      </x:c>
      <x:c r="E60" s="18" t="n">
        <x:v>2020</x:v>
      </x:c>
      <x:c r="F60" s="14" t="str">
        <x:v>Single-cell RNA sequencing identifies diverse roles of epithelial cells and the stromal microenvironment in intrahepatic cholangiocarcinoma</x:v>
      </x:c>
      <x:c r="G60" s="14" t="str">
        <x:v>Hepatology</x:v>
      </x:c>
      <x:c r="H60" s="14" t="str">
        <x:v>scRNA-seq</x:v>
      </x:c>
      <x:c r="I60" s="14" t="str">
        <x:v>Atlas-derived taxonomy</x:v>
      </x:c>
      <x:c r="J60" s="14" t="str">
        <x:v>5+</x:v>
      </x:c>
      <x:c r="K60" s="14" t="str">
        <x:v>Multiple CAF populations, including vascular, matrix and inflammatory states</x:v>
      </x:c>
      <x:c r="L60" s="14" t="str">
        <x:v>A</x:v>
      </x:c>
      <x:c r="M60" s="14" t="str">
        <x:v>Supplementary cluster-marker tables</x:v>
      </x:c>
      <x:c r="N60" s="14" t="str">
        <x:v>CAF markers are available from the study atlas.</x:v>
      </x:c>
      <x:c r="O60" s="14" t="str">
        <x:v>10.1002/hep.31130</x:v>
      </x:c>
      <x:c r="P60" s="14" t="str">
        <x:v>https://doi.org/10.1002/hep.31130</x:v>
      </x:c>
      <x:c r="Q60" s="14" t="str">
        <x:v>Included</x:v>
      </x:c>
    </x:row>
    <x:row r="61">
      <x:c r="A61" s="14" t="str">
        <x:v>Cancer</x:v>
      </x:c>
      <x:c r="B61" s="14" t="str">
        <x:v>Cholangiocarcinoma</x:v>
      </x:c>
      <x:c r="C61" s="14" t="str">
        <x:v>Human and mouse</x:v>
      </x:c>
      <x:c r="D61" s="14" t="str">
        <x:v>Affo</x:v>
      </x:c>
      <x:c r="E61" s="18" t="n">
        <x:v>2021</x:v>
      </x:c>
      <x:c r="F61" s="14" t="str">
        <x:v>Promotion of cholangiocarcinoma growth by diverse cancer-associated fibroblast subpopulations</x:v>
      </x:c>
      <x:c r="G61" s="14" t="str">
        <x:v>Cancer Cell</x:v>
      </x:c>
      <x:c r="H61" s="14" t="str">
        <x:v>scRNA-seq and functional studies</x:v>
      </x:c>
      <x:c r="I61" s="14" t="str">
        <x:v>Explicit subtype framework</x:v>
      </x:c>
      <x:c r="J61" s="14" t="str">
        <x:v>4+</x:v>
      </x:c>
      <x:c r="K61" s="14" t="str">
        <x:v>Distinct inflammatory, myofibroblastic and vascular-associated CAF populations</x:v>
      </x:c>
      <x:c r="L61" s="14" t="str">
        <x:v>A</x:v>
      </x:c>
      <x:c r="M61" s="14" t="str">
        <x:v>Supplementary subtype marker tables</x:v>
      </x:c>
      <x:c r="N61" s="14" t="str">
        <x:v>CAF populations and genes are directly reported.</x:v>
      </x:c>
      <x:c r="O61" s="14" t="str">
        <x:v>10.1016/j.ccell.2021.03.012</x:v>
      </x:c>
      <x:c r="P61" s="14" t="str">
        <x:v>https://doi.org/10.1016/j.ccell.2021.03.012</x:v>
      </x:c>
      <x:c r="Q61" s="14" t="str">
        <x:v>Included</x:v>
      </x:c>
    </x:row>
    <x:row r="62">
      <x:c r="A62" s="14" t="str">
        <x:v>Cancer</x:v>
      </x:c>
      <x:c r="B62" s="14" t="str">
        <x:v>Papillary thyroid carcinoma</x:v>
      </x:c>
      <x:c r="C62" s="14" t="str">
        <x:v>Human</x:v>
      </x:c>
      <x:c r="D62" s="14" t="str">
        <x:v>Pu</x:v>
      </x:c>
      <x:c r="E62" s="18" t="n">
        <x:v>2021</x:v>
      </x:c>
      <x:c r="F62" s="14" t="str">
        <x:v>Single-cell transcriptomic analysis of the tumor ecosystems underlying initiation and progression of papillary thyroid carcinoma</x:v>
      </x:c>
      <x:c r="G62" s="14" t="str">
        <x:v>Nature Communications</x:v>
      </x:c>
      <x:c r="H62" s="14" t="str">
        <x:v>scRNA-seq</x:v>
      </x:c>
      <x:c r="I62" s="14" t="str">
        <x:v>Atlas-derived taxonomy</x:v>
      </x:c>
      <x:c r="J62" s="14" t="str">
        <x:v>3+</x:v>
      </x:c>
      <x:c r="K62" s="14" t="str">
        <x:v>Multiple fibroblast and myofibroblast states</x:v>
      </x:c>
      <x:c r="L62" s="14" t="str">
        <x:v>A</x:v>
      </x:c>
      <x:c r="M62" s="14" t="str">
        <x:v>Supplementary cluster-marker tables</x:v>
      </x:c>
      <x:c r="N62" s="14" t="str">
        <x:v>Fibroblast subcluster genes are available.</x:v>
      </x:c>
      <x:c r="O62" s="14" t="str">
        <x:v>10.1038/s41467-021-26343-3</x:v>
      </x:c>
      <x:c r="P62" s="14" t="str">
        <x:v>https://doi.org/10.1038/s41467-021-26343-3</x:v>
      </x:c>
      <x:c r="Q62" s="14" t="str">
        <x:v>Included</x:v>
      </x:c>
    </x:row>
    <x:row r="63">
      <x:c r="A63" s="14" t="str">
        <x:v>Cancer</x:v>
      </x:c>
      <x:c r="B63" s="14" t="str">
        <x:v>Skin cancers: basal cell carcinoma, squamous cell carcinoma, melanoma</x:v>
      </x:c>
      <x:c r="C63" s="14" t="str">
        <x:v>Human</x:v>
      </x:c>
      <x:c r="D63" s="14" t="str">
        <x:v>Forsthuber</x:v>
      </x:c>
      <x:c r="E63" s="18" t="n">
        <x:v>2024</x:v>
      </x:c>
      <x:c r="F63" s="14" t="str">
        <x:v>Cancer-associated fibroblast subtypes modulate the tumor-immune microenvironment in skin cancer</x:v>
      </x:c>
      <x:c r="G63" s="14" t="str">
        <x:v>Nature Communications</x:v>
      </x:c>
      <x:c r="H63" s="14" t="str">
        <x:v>scRNA-seq plus spatial profiling</x:v>
      </x:c>
      <x:c r="I63" s="14" t="str">
        <x:v>Explicit subtype framework</x:v>
      </x:c>
      <x:c r="J63" s="14" t="str">
        <x:v>3</x:v>
      </x:c>
      <x:c r="K63" s="14" t="str">
        <x:v>RGS5+ myofibroblast-like CAFs, matrix CAFs and immunomodulatory CAFs</x:v>
      </x:c>
      <x:c r="L63" s="14" t="str">
        <x:v>A</x:v>
      </x:c>
      <x:c r="M63" s="14" t="str">
        <x:v>Supplementary subtype signatures</x:v>
      </x:c>
      <x:c r="N63" s="14" t="str">
        <x:v>Three classes are explicitly defined.</x:v>
      </x:c>
      <x:c r="O63" s="14" t="str">
        <x:v>10.1038/s41467-024-53908-9</x:v>
      </x:c>
      <x:c r="P63" s="14" t="str">
        <x:v>https://doi.org/10.1038/s41467-024-53908-9</x:v>
      </x:c>
      <x:c r="Q63" s="14" t="str">
        <x:v>Included</x:v>
      </x:c>
    </x:row>
    <x:row r="64">
      <x:c r="A64" s="14" t="str">
        <x:v>Cancer</x:v>
      </x:c>
      <x:c r="B64" s="14" t="str">
        <x:v>Cutaneous squamous cell carcinoma</x:v>
      </x:c>
      <x:c r="C64" s="14" t="str">
        <x:v>Human</x:v>
      </x:c>
      <x:c r="D64" s="14" t="str">
        <x:v>Schütz</x:v>
      </x:c>
      <x:c r="E64" s="18" t="n">
        <x:v>2023</x:v>
      </x:c>
      <x:c r="F64" s="14" t="str">
        <x:v>Functionally distinct cancer-associated fibroblast subpopulations establish a tumor-promoting environment in cutaneous squamous cell carcinoma</x:v>
      </x:c>
      <x:c r="G64" s="14" t="str">
        <x:v>Nature Communications</x:v>
      </x:c>
      <x:c r="H64" s="14" t="str">
        <x:v>scRNA-seq and spatial validation</x:v>
      </x:c>
      <x:c r="I64" s="14" t="str">
        <x:v>Explicit subtype framework</x:v>
      </x:c>
      <x:c r="J64" s="14" t="str">
        <x:v>3+</x:v>
      </x:c>
      <x:c r="K64" s="14" t="str">
        <x:v>Distinct inflammatory, matrix-remodeling and contractile CAF populations</x:v>
      </x:c>
      <x:c r="L64" s="14" t="str">
        <x:v>B</x:v>
      </x:c>
      <x:c r="M64" s="14" t="str">
        <x:v>Supplementary cluster-marker tables</x:v>
      </x:c>
      <x:c r="N64" s="14" t="str">
        <x:v>Subtype genes are retrievable from the paper resources.</x:v>
      </x:c>
      <x:c r="O64" s="14" t="str"/>
      <x:c r="P64" s="14" t="str">
        <x:v>https://pubmed.ncbi.nlm.nih.gov/?term=%22Functionally+distinct+cancer-associated+fibroblast+subpopulations+establish+a+tumor-promoting+environment+in+cutaneous+squamous+cell+carcinoma%22</x:v>
      </x:c>
      <x:c r="Q64" s="14" t="str">
        <x:v>Included</x:v>
      </x:c>
    </x:row>
    <x:row r="65">
      <x:c r="A65" s="14" t="str">
        <x:v>Cancer</x:v>
      </x:c>
      <x:c r="B65" s="14" t="str">
        <x:v>Head and neck squamous cell carcinoma</x:v>
      </x:c>
      <x:c r="C65" s="14" t="str">
        <x:v>Human</x:v>
      </x:c>
      <x:c r="D65" s="14" t="str">
        <x:v>Obradovic</x:v>
      </x:c>
      <x:c r="E65" s="18" t="n">
        <x:v>2022</x:v>
      </x:c>
      <x:c r="F65" s="14" t="str">
        <x:v>Single-cell protein activity analysis identifies recurrence-associated fibroblast programs in head and neck cancer</x:v>
      </x:c>
      <x:c r="G65" s="14" t="str">
        <x:v>Clinical Cancer Research</x:v>
      </x:c>
      <x:c r="H65" s="14" t="str">
        <x:v>scRNA-seq plus protein-activity inference</x:v>
      </x:c>
      <x:c r="I65" s="14" t="str">
        <x:v>Explicit subtype framework</x:v>
      </x:c>
      <x:c r="J65" s="14" t="str">
        <x:v>3+</x:v>
      </x:c>
      <x:c r="K65" s="14" t="str">
        <x:v>Multiple CAF programs linked to recurrence and immune exclusion</x:v>
      </x:c>
      <x:c r="L65" s="14" t="str">
        <x:v>A</x:v>
      </x:c>
      <x:c r="M65" s="14" t="str">
        <x:v>Supplementary CAF program and marker tables</x:v>
      </x:c>
      <x:c r="N65" s="14" t="str">
        <x:v>Program genes are explicitly supplied.</x:v>
      </x:c>
      <x:c r="O65" s="14" t="str">
        <x:v>10.1158/1078-0432.CCR-21-3570</x:v>
      </x:c>
      <x:c r="P65" s="14" t="str">
        <x:v>https://doi.org/10.1158/1078-0432.CCR-21-3570</x:v>
      </x:c>
      <x:c r="Q65" s="14" t="str">
        <x:v>Included</x:v>
      </x:c>
    </x:row>
    <x:row r="66">
      <x:c r="A66" s="14" t="str">
        <x:v>Cancer</x:v>
      </x:c>
      <x:c r="B66" s="14" t="str">
        <x:v>Head and neck squamous cell carcinoma</x:v>
      </x:c>
      <x:c r="C66" s="14" t="str">
        <x:v>Human</x:v>
      </x:c>
      <x:c r="D66" s="14" t="str">
        <x:v>Mou</x:v>
      </x:c>
      <x:c r="E66" s="18" t="n">
        <x:v>2023</x:v>
      </x:c>
      <x:c r="F66" s="14" t="str">
        <x:v>Single-cell transcriptomics reveals cancer-associated fibroblast heterogeneity in head and neck squamous cell carcinoma</x:v>
      </x:c>
      <x:c r="G66" s="14" t="str">
        <x:v>Translational Oncology</x:v>
      </x:c>
      <x:c r="H66" s="14" t="str">
        <x:v>Integrated scRNA-seq</x:v>
      </x:c>
      <x:c r="I66" s="14" t="str">
        <x:v>Explicit subtype framework</x:v>
      </x:c>
      <x:c r="J66" s="14" t="str">
        <x:v>3+</x:v>
      </x:c>
      <x:c r="K66" s="14" t="str">
        <x:v>Multiple HNSCC CAF populations</x:v>
      </x:c>
      <x:c r="L66" s="14" t="str">
        <x:v>B</x:v>
      </x:c>
      <x:c r="M66" s="14" t="str">
        <x:v>Supplementary marker tables</x:v>
      </x:c>
      <x:c r="N66" s="14" t="str">
        <x:v>Subtype genes can be extracted from supplementary data.</x:v>
      </x:c>
      <x:c r="O66" s="14" t="str">
        <x:v>10.1016/j.tranon.2023.101717</x:v>
      </x:c>
      <x:c r="P66" s="14" t="str">
        <x:v>https://doi.org/10.1016/j.tranon.2023.101717</x:v>
      </x:c>
      <x:c r="Q66" s="14" t="str">
        <x:v>Included</x:v>
      </x:c>
    </x:row>
    <x:row r="67">
      <x:c r="A67" s="14" t="str">
        <x:v>Cancer</x:v>
      </x:c>
      <x:c r="B67" s="14" t="str">
        <x:v>Cervical squamous cell carcinoma</x:v>
      </x:c>
      <x:c r="C67" s="14" t="str">
        <x:v>Human</x:v>
      </x:c>
      <x:c r="D67" s="14" t="str">
        <x:v>Liu</x:v>
      </x:c>
      <x:c r="E67" s="18" t="n">
        <x:v>2023</x:v>
      </x:c>
      <x:c r="F67" s="14" t="str">
        <x:v>Single-cell and spatial transcriptomics reveal a fibroblast ecosystem in cervical squamous cell carcinoma</x:v>
      </x:c>
      <x:c r="G67" s="14" t="str">
        <x:v>Science Advances</x:v>
      </x:c>
      <x:c r="H67" s="14" t="str">
        <x:v>scRNA-seq plus spatial transcriptomics</x:v>
      </x:c>
      <x:c r="I67" s="14" t="str">
        <x:v>Explicit subtype framework</x:v>
      </x:c>
      <x:c r="J67" s="14" t="str">
        <x:v>3+</x:v>
      </x:c>
      <x:c r="K67" s="14" t="str">
        <x:v>Multiple cervical CAF states</x:v>
      </x:c>
      <x:c r="L67" s="14" t="str">
        <x:v>A</x:v>
      </x:c>
      <x:c r="M67" s="14" t="str">
        <x:v>Supplementary marker and spatial-signature tables</x:v>
      </x:c>
      <x:c r="N67" s="14" t="str">
        <x:v>CAF gene sets are directly retrievable.</x:v>
      </x:c>
      <x:c r="O67" s="14" t="str">
        <x:v>10.1126/sciadv.add8977</x:v>
      </x:c>
      <x:c r="P67" s="14" t="str">
        <x:v>https://doi.org/10.1126/sciadv.add8977</x:v>
      </x:c>
      <x:c r="Q67" s="14" t="str">
        <x:v>Included</x:v>
      </x:c>
    </x:row>
    <x:row r="68">
      <x:c r="A68" s="14" t="str">
        <x:v>Cancer</x:v>
      </x:c>
      <x:c r="B68" s="14" t="str">
        <x:v>Cervical cancer</x:v>
      </x:c>
      <x:c r="C68" s="14" t="str">
        <x:v>Human</x:v>
      </x:c>
      <x:c r="D68" s="14" t="str">
        <x:v>Li</x:v>
      </x:c>
      <x:c r="E68" s="18" t="n">
        <x:v>2022</x:v>
      </x:c>
      <x:c r="F68" s="14" t="str">
        <x:v>Single-cell transcriptomics reveals distinct cancer-associated fibroblast states in cervical cancer</x:v>
      </x:c>
      <x:c r="G68" s="14" t="str">
        <x:v>Communications Biology</x:v>
      </x:c>
      <x:c r="H68" s="14" t="str">
        <x:v>scRNA-seq</x:v>
      </x:c>
      <x:c r="I68" s="14" t="str">
        <x:v>Explicit subtype framework</x:v>
      </x:c>
      <x:c r="J68" s="14" t="str">
        <x:v>3+</x:v>
      </x:c>
      <x:c r="K68" s="14" t="str">
        <x:v>Multiple CAF populations with immune and matrix programs</x:v>
      </x:c>
      <x:c r="L68" s="14" t="str">
        <x:v>B</x:v>
      </x:c>
      <x:c r="M68" s="14" t="str">
        <x:v>Supplementary marker tables</x:v>
      </x:c>
      <x:c r="N68" s="14" t="str">
        <x:v>Subtype genes require extraction from cluster-level tables.</x:v>
      </x:c>
      <x:c r="O68" s="14" t="str">
        <x:v>10.1038/s42003-022-04142-w</x:v>
      </x:c>
      <x:c r="P68" s="14" t="str">
        <x:v>https://doi.org/10.1038/s42003-022-04142-w</x:v>
      </x:c>
      <x:c r="Q68" s="14" t="str">
        <x:v>Included</x:v>
      </x:c>
    </x:row>
    <x:row r="69">
      <x:c r="A69" s="14" t="str">
        <x:v>Cancer</x:v>
      </x:c>
      <x:c r="B69" s="14" t="str">
        <x:v>Gastric cancer</x:v>
      </x:c>
      <x:c r="C69" s="14" t="str">
        <x:v>Human</x:v>
      </x:c>
      <x:c r="D69" s="14" t="str">
        <x:v>Li</x:v>
      </x:c>
      <x:c r="E69" s="18" t="n">
        <x:v>2022</x:v>
      </x:c>
      <x:c r="F69" s="14" t="str">
        <x:v>Single-cell transcriptomics reveals the landscape of intra-tumoral heterogeneity and transcriptional activities of cancer-associated fibroblasts in gastric cancer</x:v>
      </x:c>
      <x:c r="G69" s="14" t="str">
        <x:v>Theranostics</x:v>
      </x:c>
      <x:c r="H69" s="14" t="str">
        <x:v>scRNA-seq</x:v>
      </x:c>
      <x:c r="I69" s="14" t="str">
        <x:v>Explicit subtype framework</x:v>
      </x:c>
      <x:c r="J69" s="14" t="str">
        <x:v>3+</x:v>
      </x:c>
      <x:c r="K69" s="14" t="str">
        <x:v>Multiple gastric CAF populations</x:v>
      </x:c>
      <x:c r="L69" s="14" t="str">
        <x:v>A</x:v>
      </x:c>
      <x:c r="M69" s="14" t="str">
        <x:v>Supplementary cluster-marker tables</x:v>
      </x:c>
      <x:c r="N69" s="14" t="str">
        <x:v>CAF subtype markers are directly supplied.</x:v>
      </x:c>
      <x:c r="O69" s="14" t="str">
        <x:v>10.7150/thno.60540</x:v>
      </x:c>
      <x:c r="P69" s="14" t="str">
        <x:v>https://doi.org/10.7150/thno.60540</x:v>
      </x:c>
      <x:c r="Q69" s="14" t="str">
        <x:v>Included</x:v>
      </x:c>
    </x:row>
    <x:row r="70">
      <x:c r="A70" s="14" t="str">
        <x:v>Cancer</x:v>
      </x:c>
      <x:c r="B70" s="14" t="str">
        <x:v>Gastric cancer</x:v>
      </x:c>
      <x:c r="C70" s="14" t="str">
        <x:v>Human</x:v>
      </x:c>
      <x:c r="D70" s="14" t="str">
        <x:v>Li</x:v>
      </x:c>
      <x:c r="E70" s="18" t="n">
        <x:v>2022</x:v>
      </x:c>
      <x:c r="F70" s="14" t="str">
        <x:v>Single-cell analysis reveals diverse cancer-associated fibroblast subtypes and their interactions in gastric cancer</x:v>
      </x:c>
      <x:c r="G70" s="14" t="str">
        <x:v>Theranostics</x:v>
      </x:c>
      <x:c r="H70" s="14" t="str">
        <x:v>scRNA-seq</x:v>
      </x:c>
      <x:c r="I70" s="14" t="str">
        <x:v>Explicit subtype framework</x:v>
      </x:c>
      <x:c r="J70" s="14" t="str">
        <x:v>3+</x:v>
      </x:c>
      <x:c r="K70" s="14" t="str">
        <x:v>Multiple functional gastric CAF subtypes</x:v>
      </x:c>
      <x:c r="L70" s="14" t="str">
        <x:v>A</x:v>
      </x:c>
      <x:c r="M70" s="14" t="str">
        <x:v>Supplementary marker and ligand-receptor tables</x:v>
      </x:c>
      <x:c r="N70" s="14" t="str">
        <x:v>Subtype gene sets are available.</x:v>
      </x:c>
      <x:c r="O70" s="14" t="str">
        <x:v>10.7150/thno.71833</x:v>
      </x:c>
      <x:c r="P70" s="14" t="str">
        <x:v>https://doi.org/10.7150/thno.71833</x:v>
      </x:c>
      <x:c r="Q70" s="14" t="str">
        <x:v>Included</x:v>
      </x:c>
    </x:row>
    <x:row r="71">
      <x:c r="A71" s="14" t="str">
        <x:v>Mixed / disease progression</x:v>
      </x:c>
      <x:c r="B71" s="14" t="str">
        <x:v>Gastritis, intestinal metaplasia and gastric cancer</x:v>
      </x:c>
      <x:c r="C71" s="14" t="str">
        <x:v>Human</x:v>
      </x:c>
      <x:c r="D71" s="14" t="str">
        <x:v>Go</x:v>
      </x:c>
      <x:c r="E71" s="18" t="n">
        <x:v>2026</x:v>
      </x:c>
      <x:c r="F71" s="14" t="str">
        <x:v>An integrated single-cell atlas of gastric disease progression</x:v>
      </x:c>
      <x:c r="G71" s="14" t="str">
        <x:v>Scientific Data</x:v>
      </x:c>
      <x:c r="H71" s="14" t="str">
        <x:v>Integrated scRNA-seq atlas</x:v>
      </x:c>
      <x:c r="I71" s="14" t="str">
        <x:v>Progression atlas</x:v>
      </x:c>
      <x:c r="J71" s="14" t="str">
        <x:v>6</x:v>
      </x:c>
      <x:c r="K71" s="14" t="str">
        <x:v>Six fibroblast subtypes across premalignant and malignant gastric disease</x:v>
      </x:c>
      <x:c r="L71" s="14" t="str">
        <x:v>A</x:v>
      </x:c>
      <x:c r="M71" s="14" t="str">
        <x:v>Processed atlas and supplementary marker tables</x:v>
      </x:c>
      <x:c r="N71" s="14" t="str">
        <x:v>The dataset is designed for direct reuse.</x:v>
      </x:c>
      <x:c r="O71" s="14" t="str">
        <x:v>10.1038/s41597-026-07108-3</x:v>
      </x:c>
      <x:c r="P71" s="14" t="str">
        <x:v>https://doi.org/10.1038/s41597-026-07108-3</x:v>
      </x:c>
      <x:c r="Q71" s="14" t="str">
        <x:v>Included</x:v>
      </x:c>
    </x:row>
    <x:row r="72">
      <x:c r="A72" s="14" t="str">
        <x:v>Cancer</x:v>
      </x:c>
      <x:c r="B72" s="14" t="str">
        <x:v>Esophageal squamous cell carcinoma</x:v>
      </x:c>
      <x:c r="C72" s="14" t="str">
        <x:v>Human</x:v>
      </x:c>
      <x:c r="D72" s="14" t="str">
        <x:v>Zhang</x:v>
      </x:c>
      <x:c r="E72" s="18" t="n">
        <x:v>2021</x:v>
      </x:c>
      <x:c r="F72" s="14" t="str">
        <x:v>Dissecting the single-cell transcriptome network underlying esophageal squamous cell carcinoma</x:v>
      </x:c>
      <x:c r="G72" s="14" t="str">
        <x:v>Nature Communications</x:v>
      </x:c>
      <x:c r="H72" s="14" t="str">
        <x:v>scRNA-seq</x:v>
      </x:c>
      <x:c r="I72" s="14" t="str">
        <x:v>Atlas-derived taxonomy</x:v>
      </x:c>
      <x:c r="J72" s="14" t="str">
        <x:v>3+</x:v>
      </x:c>
      <x:c r="K72" s="14" t="str">
        <x:v>Multiple CAF and stromal populations</x:v>
      </x:c>
      <x:c r="L72" s="14" t="str">
        <x:v>A</x:v>
      </x:c>
      <x:c r="M72" s="14" t="str">
        <x:v>Supplementary cluster-marker tables</x:v>
      </x:c>
      <x:c r="N72" s="14" t="str">
        <x:v>Fibroblast subcluster genes are available.</x:v>
      </x:c>
      <x:c r="O72" s="14" t="str">
        <x:v>10.1038/s41467-021-25539-x</x:v>
      </x:c>
      <x:c r="P72" s="14" t="str">
        <x:v>https://doi.org/10.1038/s41467-021-25539-x</x:v>
      </x:c>
      <x:c r="Q72" s="14" t="str">
        <x:v>Included</x:v>
      </x:c>
    </x:row>
    <x:row r="73">
      <x:c r="A73" s="14" t="str">
        <x:v>Cancer</x:v>
      </x:c>
      <x:c r="B73" s="14" t="str">
        <x:v>Treatment-refractory esophageal squamous cell carcinoma</x:v>
      </x:c>
      <x:c r="C73" s="14" t="str">
        <x:v>Human</x:v>
      </x:c>
      <x:c r="D73" s="14" t="str">
        <x:v>Lo</x:v>
      </x:c>
      <x:c r="E73" s="18" t="n">
        <x:v>2025</x:v>
      </x:c>
      <x:c r="F73" s="14" t="str">
        <x:v>Single-cell transcriptomic analysis reveals distinct cancer-associated fibroblast states in treatment-refractory esophageal squamous cell carcinoma</x:v>
      </x:c>
      <x:c r="G73" s="14" t="str">
        <x:v>Scientific Reports</x:v>
      </x:c>
      <x:c r="H73" s="14" t="str">
        <x:v>scRNA-seq</x:v>
      </x:c>
      <x:c r="I73" s="14" t="str">
        <x:v>Explicit subtype framework</x:v>
      </x:c>
      <x:c r="J73" s="14" t="str">
        <x:v>13</x:v>
      </x:c>
      <x:c r="K73" s="14" t="str">
        <x:v>Thirteen fibroblast subtypes, including myCAF, apCAF, iCAF and normal fibroblasts</x:v>
      </x:c>
      <x:c r="L73" s="14" t="str">
        <x:v>A</x:v>
      </x:c>
      <x:c r="M73" s="14" t="str">
        <x:v>Supplementary marker tables</x:v>
      </x:c>
      <x:c r="N73" s="14" t="str">
        <x:v>The article explicitly reports 13 subtypes.</x:v>
      </x:c>
      <x:c r="O73" s="14" t="str">
        <x:v>10.1038/s41598-025-28903-9</x:v>
      </x:c>
      <x:c r="P73" s="14" t="str">
        <x:v>https://doi.org/10.1038/s41598-025-28903-9</x:v>
      </x:c>
      <x:c r="Q73" s="14" t="str">
        <x:v>Included</x:v>
      </x:c>
    </x:row>
    <x:row r="74">
      <x:c r="A74" s="14" t="str">
        <x:v>Non-cancer</x:v>
      </x:c>
      <x:c r="B74" s="14" t="str">
        <x:v>Healthy human skin</x:v>
      </x:c>
      <x:c r="C74" s="14" t="str">
        <x:v>Human</x:v>
      </x:c>
      <x:c r="D74" s="14" t="str">
        <x:v>Tabib</x:v>
      </x:c>
      <x:c r="E74" s="18" t="n">
        <x:v>2018</x:v>
      </x:c>
      <x:c r="F74" s="14" t="str">
        <x:v>SFRP2/DPP4 and FMO1/LSP1 define major fibroblast populations in human skin</x:v>
      </x:c>
      <x:c r="G74" s="14" t="str">
        <x:v>Journal of Investigative Dermatology</x:v>
      </x:c>
      <x:c r="H74" s="14" t="str">
        <x:v>scRNA-seq</x:v>
      </x:c>
      <x:c r="I74" s="14" t="str">
        <x:v>Explicit subtype framework</x:v>
      </x:c>
      <x:c r="J74" s="14" t="str">
        <x:v>4+</x:v>
      </x:c>
      <x:c r="K74" s="14" t="str">
        <x:v>Major SFRP2/DPP4, FMO1/LSP1 and related dermal fibroblast populations</x:v>
      </x:c>
      <x:c r="L74" s="14" t="str">
        <x:v>A</x:v>
      </x:c>
      <x:c r="M74" s="14" t="str">
        <x:v>Supplementary cluster-marker tables</x:v>
      </x:c>
      <x:c r="N74" s="14" t="str">
        <x:v>One of the foundational human-skin fibroblast taxonomies.</x:v>
      </x:c>
      <x:c r="O74" s="14" t="str">
        <x:v>10.1016/j.jid.2017.09.032</x:v>
      </x:c>
      <x:c r="P74" s="14" t="str">
        <x:v>https://doi.org/10.1016/j.jid.2017.09.032</x:v>
      </x:c>
      <x:c r="Q74" s="14" t="str">
        <x:v>Included</x:v>
      </x:c>
    </x:row>
    <x:row r="75">
      <x:c r="A75" s="14" t="str">
        <x:v>Non-cancer</x:v>
      </x:c>
      <x:c r="B75" s="14" t="str">
        <x:v>Healthy human skin</x:v>
      </x:c>
      <x:c r="C75" s="14" t="str">
        <x:v>Human</x:v>
      </x:c>
      <x:c r="D75" s="14" t="str">
        <x:v>Philippeos</x:v>
      </x:c>
      <x:c r="E75" s="18" t="n">
        <x:v>2018</x:v>
      </x:c>
      <x:c r="F75" s="14" t="str">
        <x:v>Spatial and single-cell transcriptional profiling identifies functionally distinct human dermal fibroblast subpopulations</x:v>
      </x:c>
      <x:c r="G75" s="14" t="str">
        <x:v>Journal of Investigative Dermatology</x:v>
      </x:c>
      <x:c r="H75" s="14" t="str">
        <x:v>scRNA-seq plus spatial validation</x:v>
      </x:c>
      <x:c r="I75" s="14" t="str">
        <x:v>Explicit subtype framework</x:v>
      </x:c>
      <x:c r="J75" s="14" t="str">
        <x:v>4</x:v>
      </x:c>
      <x:c r="K75" s="14" t="str">
        <x:v>At least four distinct dermal fibroblast populations</x:v>
      </x:c>
      <x:c r="L75" s="14" t="str">
        <x:v>A</x:v>
      </x:c>
      <x:c r="M75" s="14" t="str">
        <x:v>Supplementary marker tables</x:v>
      </x:c>
      <x:c r="N75" s="14" t="str">
        <x:v>Markers and spatial identities are directly reported.</x:v>
      </x:c>
      <x:c r="O75" s="14" t="str">
        <x:v>10.1016/j.jid.2018.01.016</x:v>
      </x:c>
      <x:c r="P75" s="14" t="str">
        <x:v>https://doi.org/10.1016/j.jid.2018.01.016</x:v>
      </x:c>
      <x:c r="Q75" s="14" t="str">
        <x:v>Included</x:v>
      </x:c>
    </x:row>
    <x:row r="76">
      <x:c r="A76" s="14" t="str">
        <x:v>Non-cancer</x:v>
      </x:c>
      <x:c r="B76" s="14" t="str">
        <x:v>Human skin aging</x:v>
      </x:c>
      <x:c r="C76" s="14" t="str">
        <x:v>Human</x:v>
      </x:c>
      <x:c r="D76" s="14" t="str">
        <x:v>Solé-Boldo</x:v>
      </x:c>
      <x:c r="E76" s="18" t="n">
        <x:v>2020</x:v>
      </x:c>
      <x:c r="F76" s="14" t="str">
        <x:v>Single-cell transcriptomes of the human skin reveal age-related loss of fibroblast priming</x:v>
      </x:c>
      <x:c r="G76" s="14" t="str">
        <x:v>Communications Biology</x:v>
      </x:c>
      <x:c r="H76" s="14" t="str">
        <x:v>scRNA-seq</x:v>
      </x:c>
      <x:c r="I76" s="14" t="str">
        <x:v>Explicit subtype framework</x:v>
      </x:c>
      <x:c r="J76" s="14" t="str">
        <x:v>4+</x:v>
      </x:c>
      <x:c r="K76" s="14" t="str">
        <x:v>Multiple papillary, reticular and inflammatory fibroblast states</x:v>
      </x:c>
      <x:c r="L76" s="14" t="str">
        <x:v>A</x:v>
      </x:c>
      <x:c r="M76" s="14" t="str">
        <x:v>Supplementary cluster-marker tables</x:v>
      </x:c>
      <x:c r="N76" s="14" t="str">
        <x:v>Subtype genes are available by age and cluster.</x:v>
      </x:c>
      <x:c r="O76" s="14" t="str">
        <x:v>10.1038/s42003-020-0922-4</x:v>
      </x:c>
      <x:c r="P76" s="14" t="str">
        <x:v>https://doi.org/10.1038/s42003-020-0922-4</x:v>
      </x:c>
      <x:c r="Q76" s="14" t="str">
        <x:v>Included</x:v>
      </x:c>
    </x:row>
    <x:row r="77">
      <x:c r="A77" s="14" t="str">
        <x:v>Non-cancer</x:v>
      </x:c>
      <x:c r="B77" s="14" t="str">
        <x:v>Healthy human skin</x:v>
      </x:c>
      <x:c r="C77" s="14" t="str">
        <x:v>Human</x:v>
      </x:c>
      <x:c r="D77" s="14" t="str">
        <x:v>Vorstandlechner</x:v>
      </x:c>
      <x:c r="E77" s="18" t="n">
        <x:v>2020</x:v>
      </x:c>
      <x:c r="F77" s="14" t="str">
        <x:v>The serine proteases dipeptidyl peptidase 4 and fibroblast activation protein are markers of distinct human skin fibroblast populations</x:v>
      </x:c>
      <x:c r="G77" s="14" t="str">
        <x:v>FASEB Journal</x:v>
      </x:c>
      <x:c r="H77" s="14" t="str">
        <x:v>scRNA-seq and validation</x:v>
      </x:c>
      <x:c r="I77" s="14" t="str">
        <x:v>Explicit subtype framework</x:v>
      </x:c>
      <x:c r="J77" s="14" t="str">
        <x:v>4+</x:v>
      </x:c>
      <x:c r="K77" s="14" t="str">
        <x:v>Distinct DPP4+, FAP+ and other dermal fibroblast populations</x:v>
      </x:c>
      <x:c r="L77" s="14" t="str">
        <x:v>A</x:v>
      </x:c>
      <x:c r="M77" s="14" t="str">
        <x:v>Supplementary expression and marker tables</x:v>
      </x:c>
      <x:c r="N77" s="14" t="str">
        <x:v>Transcriptomic definitions are directly recoverable.</x:v>
      </x:c>
      <x:c r="O77" s="14" t="str">
        <x:v>10.1096/fj.201902001RR</x:v>
      </x:c>
      <x:c r="P77" s="14" t="str">
        <x:v>https://doi.org/10.1096/fj.201902001RR</x:v>
      </x:c>
      <x:c r="Q77" s="14" t="str">
        <x:v>Included</x:v>
      </x:c>
    </x:row>
    <x:row r="78">
      <x:c r="A78" s="14" t="str">
        <x:v>Non-cancer</x:v>
      </x:c>
      <x:c r="B78" s="14" t="str">
        <x:v>Healthy human skin</x:v>
      </x:c>
      <x:c r="C78" s="14" t="str">
        <x:v>Human</x:v>
      </x:c>
      <x:c r="D78" s="14" t="str">
        <x:v>Ascensión</x:v>
      </x:c>
      <x:c r="E78" s="18" t="n">
        <x:v>2021</x:v>
      </x:c>
      <x:c r="F78" s="14" t="str">
        <x:v>Molecular profiles of human dermal fibroblast subpopulations</x:v>
      </x:c>
      <x:c r="G78" s="14" t="str">
        <x:v>Journal of Investigative Dermatology</x:v>
      </x:c>
      <x:c r="H78" s="14" t="str">
        <x:v>Integrated scRNA-seq</x:v>
      </x:c>
      <x:c r="I78" s="14" t="str">
        <x:v>Explicit subtype framework</x:v>
      </x:c>
      <x:c r="J78" s="14" t="str">
        <x:v>4+</x:v>
      </x:c>
      <x:c r="K78" s="14" t="str">
        <x:v>Conserved dermal fibroblast classes across datasets</x:v>
      </x:c>
      <x:c r="L78" s="14" t="str">
        <x:v>A</x:v>
      </x:c>
      <x:c r="M78" s="14" t="str">
        <x:v>Supplementary Table S4 and associated DE tables</x:v>
      </x:c>
      <x:c r="N78" s="14" t="str">
        <x:v>A harmonized marker resource is provided.</x:v>
      </x:c>
      <x:c r="O78" s="14" t="str">
        <x:v>10.1016/j.jid.2020.11.028</x:v>
      </x:c>
      <x:c r="P78" s="14" t="str">
        <x:v>https://doi.org/10.1016/j.jid.2020.11.028</x:v>
      </x:c>
      <x:c r="Q78" s="14" t="str">
        <x:v>Included</x:v>
      </x:c>
    </x:row>
    <x:row r="79">
      <x:c r="A79" s="14" t="str">
        <x:v>Non-cancer</x:v>
      </x:c>
      <x:c r="B79" s="14" t="str">
        <x:v>Adult mouse skin</x:v>
      </x:c>
      <x:c r="C79" s="14" t="str">
        <x:v>Mouse</x:v>
      </x:c>
      <x:c r="D79" s="14" t="str">
        <x:v>Joost</x:v>
      </x:c>
      <x:c r="E79" s="18" t="n">
        <x:v>2020</x:v>
      </x:c>
      <x:c r="F79" s="14" t="str">
        <x:v>The molecular anatomy of mouse skin during hair growth and rest</x:v>
      </x:c>
      <x:c r="G79" s="14" t="str">
        <x:v>Cell Stem Cell</x:v>
      </x:c>
      <x:c r="H79" s="14" t="str">
        <x:v>scRNA-seq</x:v>
      </x:c>
      <x:c r="I79" s="14" t="str">
        <x:v>Atlas-derived taxonomy</x:v>
      </x:c>
      <x:c r="J79" s="14" t="str">
        <x:v>4</x:v>
      </x:c>
      <x:c r="K79" s="14" t="str">
        <x:v>FIB1, FIB2, FIB3 and FIB4</x:v>
      </x:c>
      <x:c r="L79" s="14" t="str">
        <x:v>A</x:v>
      </x:c>
      <x:c r="M79" s="14" t="str">
        <x:v>Supplementary cluster-marker tables</x:v>
      </x:c>
      <x:c r="N79" s="14" t="str">
        <x:v>Four fibroblast classes are directly annotated.</x:v>
      </x:c>
      <x:c r="O79" s="14" t="str">
        <x:v>10.1016/j.stem.2020.01.012</x:v>
      </x:c>
      <x:c r="P79" s="14" t="str">
        <x:v>https://doi.org/10.1016/j.stem.2020.01.012</x:v>
      </x:c>
      <x:c r="Q79" s="14" t="str">
        <x:v>Included</x:v>
      </x:c>
    </x:row>
    <x:row r="80">
      <x:c r="A80" s="14" t="str">
        <x:v>Non-cancer</x:v>
      </x:c>
      <x:c r="B80" s="14" t="str">
        <x:v>Keloid and normal scar</x:v>
      </x:c>
      <x:c r="C80" s="14" t="str">
        <x:v>Human</x:v>
      </x:c>
      <x:c r="D80" s="14" t="str">
        <x:v>Deng</x:v>
      </x:c>
      <x:c r="E80" s="18" t="n">
        <x:v>2021</x:v>
      </x:c>
      <x:c r="F80" s="14" t="str">
        <x:v>Single-cell RNA-seq reveals fibroblast heterogeneity and increased mesenchymal fibroblasts in human fibrotic skin diseases</x:v>
      </x:c>
      <x:c r="G80" s="14" t="str">
        <x:v>Nature Communications</x:v>
      </x:c>
      <x:c r="H80" s="14" t="str">
        <x:v>scRNA-seq</x:v>
      </x:c>
      <x:c r="I80" s="14" t="str">
        <x:v>Explicit subtype framework</x:v>
      </x:c>
      <x:c r="J80" s="14" t="str">
        <x:v>4</x:v>
      </x:c>
      <x:c r="K80" s="14" t="str">
        <x:v>Secretory-papillary, secretory-reticular, mesenchymal and pro-inflammatory fibroblasts</x:v>
      </x:c>
      <x:c r="L80" s="14" t="str">
        <x:v>A</x:v>
      </x:c>
      <x:c r="M80" s="14" t="str">
        <x:v>Supplementary marker and DE tables</x:v>
      </x:c>
      <x:c r="N80" s="14" t="str">
        <x:v>The four classes and their markers are explicit.</x:v>
      </x:c>
      <x:c r="O80" s="14" t="str">
        <x:v>10.1038/s41467-021-24110-y</x:v>
      </x:c>
      <x:c r="P80" s="14" t="str">
        <x:v>https://doi.org/10.1038/s41467-021-24110-y</x:v>
      </x:c>
      <x:c r="Q80" s="14" t="str">
        <x:v>Included</x:v>
      </x:c>
    </x:row>
    <x:row r="81">
      <x:c r="A81" s="14" t="str">
        <x:v>Non-cancer</x:v>
      </x:c>
      <x:c r="B81" s="14" t="str">
        <x:v>Skin wound healing</x:v>
      </x:c>
      <x:c r="C81" s="14" t="str">
        <x:v>Mouse</x:v>
      </x:c>
      <x:c r="D81" s="14" t="str">
        <x:v>Guerrero-Juarez</x:v>
      </x:c>
      <x:c r="E81" s="18" t="n">
        <x:v>2019</x:v>
      </x:c>
      <x:c r="F81" s="14" t="str">
        <x:v>Single-cell analysis reveals fibroblast heterogeneity and myeloid-derived adipocyte progenitors in murine skin wounds</x:v>
      </x:c>
      <x:c r="G81" s="14" t="str">
        <x:v>Nature Communications</x:v>
      </x:c>
      <x:c r="H81" s="14" t="str">
        <x:v>scRNA-seq</x:v>
      </x:c>
      <x:c r="I81" s="14" t="str">
        <x:v>Explicit subtype framework</x:v>
      </x:c>
      <x:c r="J81" s="14" t="str">
        <x:v>12</x:v>
      </x:c>
      <x:c r="K81" s="14" t="str">
        <x:v>Twelve wound fibroblast clusters</x:v>
      </x:c>
      <x:c r="L81" s="14" t="str">
        <x:v>A</x:v>
      </x:c>
      <x:c r="M81" s="14" t="str">
        <x:v>Supplementary cluster-marker tables and processed data</x:v>
      </x:c>
      <x:c r="N81" s="14" t="str">
        <x:v>A highly resolved wound-fibroblast taxonomy.</x:v>
      </x:c>
      <x:c r="O81" s="14" t="str">
        <x:v>10.1038/s41467-018-08247-x</x:v>
      </x:c>
      <x:c r="P81" s="14" t="str">
        <x:v>https://doi.org/10.1038/s41467-018-08247-x</x:v>
      </x:c>
      <x:c r="Q81" s="14" t="str">
        <x:v>Included</x:v>
      </x:c>
    </x:row>
    <x:row r="82">
      <x:c r="A82" s="14" t="str">
        <x:v>Non-cancer</x:v>
      </x:c>
      <x:c r="B82" s="14" t="str">
        <x:v>Peritoneal adhesions and repair</x:v>
      </x:c>
      <x:c r="C82" s="14" t="str">
        <x:v>Mouse and human</x:v>
      </x:c>
      <x:c r="D82" s="14" t="str">
        <x:v>Foster</x:v>
      </x:c>
      <x:c r="E82" s="18" t="n">
        <x:v>2020</x:v>
      </x:c>
      <x:c r="F82" s="14" t="str">
        <x:v>Single-cell RNA sequencing reveals a mesothelial-to-mesenchymal transition and fibroblast heterogeneity in abdominal adhesions</x:v>
      </x:c>
      <x:c r="G82" s="14" t="str">
        <x:v>Nature Communications</x:v>
      </x:c>
      <x:c r="H82" s="14" t="str">
        <x:v>scRNA-seq</x:v>
      </x:c>
      <x:c r="I82" s="14" t="str">
        <x:v>Disease atlas</x:v>
      </x:c>
      <x:c r="J82" s="14" t="str">
        <x:v>3+</x:v>
      </x:c>
      <x:c r="K82" s="14" t="str">
        <x:v>Distinct adhesion-associated fibroblast and mesothelial-derived stromal states</x:v>
      </x:c>
      <x:c r="L82" s="14" t="str">
        <x:v>B</x:v>
      </x:c>
      <x:c r="M82" s="14" t="str">
        <x:v>Supplementary marker tables</x:v>
      </x:c>
      <x:c r="N82" s="14" t="str">
        <x:v>Gene sets are available at cluster level.</x:v>
      </x:c>
      <x:c r="O82" s="14" t="str"/>
      <x:c r="P82" s="14" t="str">
        <x:v>https://pubmed.ncbi.nlm.nih.gov/?term=%22Single-cell+RNA+sequencing+reveals+a+mesothelial-to-mesenchymal+transition+and+fibroblast+heterogeneity+in+abdominal+adhesions%22</x:v>
      </x:c>
      <x:c r="Q82" s="14" t="str">
        <x:v>Included</x:v>
      </x:c>
    </x:row>
    <x:row r="83">
      <x:c r="A83" s="14" t="str">
        <x:v>Non-cancer</x:v>
      </x:c>
      <x:c r="B83" s="14" t="str">
        <x:v>Systemic sclerosis skin</x:v>
      </x:c>
      <x:c r="C83" s="14" t="str">
        <x:v>Human</x:v>
      </x:c>
      <x:c r="D83" s="14" t="str">
        <x:v>Tabib</x:v>
      </x:c>
      <x:c r="E83" s="18" t="n">
        <x:v>2021</x:v>
      </x:c>
      <x:c r="F83" s="14" t="str">
        <x:v>Myofibroblast transcriptome indicates SFRP2hi fibroblast progenitors in systemic sclerosis skin</x:v>
      </x:c>
      <x:c r="G83" s="14" t="str">
        <x:v>Nature Communications</x:v>
      </x:c>
      <x:c r="H83" s="14" t="str">
        <x:v>scRNA-seq</x:v>
      </x:c>
      <x:c r="I83" s="14" t="str">
        <x:v>Explicit subtype framework</x:v>
      </x:c>
      <x:c r="J83" s="14" t="str">
        <x:v>4+</x:v>
      </x:c>
      <x:c r="K83" s="14" t="str">
        <x:v>SFRP2hi progenitors and differentiated myofibroblast/inflammatory states</x:v>
      </x:c>
      <x:c r="L83" s="14" t="str">
        <x:v>A</x:v>
      </x:c>
      <x:c r="M83" s="14" t="str">
        <x:v>Supplementary marker and trajectory tables</x:v>
      </x:c>
      <x:c r="N83" s="14" t="str">
        <x:v>Subtype genes are directly available.</x:v>
      </x:c>
      <x:c r="O83" s="14" t="str">
        <x:v>10.1038/s41467-021-22373-7</x:v>
      </x:c>
      <x:c r="P83" s="14" t="str">
        <x:v>https://doi.org/10.1038/s41467-021-22373-7</x:v>
      </x:c>
      <x:c r="Q83" s="14" t="str">
        <x:v>Included</x:v>
      </x:c>
    </x:row>
    <x:row r="84">
      <x:c r="A84" s="14" t="str">
        <x:v>Non-cancer</x:v>
      </x:c>
      <x:c r="B84" s="14" t="str">
        <x:v>Keloid</x:v>
      </x:c>
      <x:c r="C84" s="14" t="str">
        <x:v>Human</x:v>
      </x:c>
      <x:c r="D84" s="14" t="str">
        <x:v>Shim</x:v>
      </x:c>
      <x:c r="E84" s="18" t="n">
        <x:v>2022</x:v>
      </x:c>
      <x:c r="F84" s="14" t="str">
        <x:v>Single-cell transcriptomic analysis reveals keloid fibroblast heterogeneity and pathogenic subpopulations</x:v>
      </x:c>
      <x:c r="G84" s="14" t="str">
        <x:v>Journal of Investigative Dermatology</x:v>
      </x:c>
      <x:c r="H84" s="14" t="str">
        <x:v>scRNA-seq</x:v>
      </x:c>
      <x:c r="I84" s="14" t="str">
        <x:v>Explicit subtype framework</x:v>
      </x:c>
      <x:c r="J84" s="14" t="str">
        <x:v>4+</x:v>
      </x:c>
      <x:c r="K84" s="14" t="str">
        <x:v>Multiple keloid fibroblast states including inflammatory and matrix-producing populations</x:v>
      </x:c>
      <x:c r="L84" s="14" t="str">
        <x:v>B</x:v>
      </x:c>
      <x:c r="M84" s="14" t="str">
        <x:v>Supplementary marker tables</x:v>
      </x:c>
      <x:c r="N84" s="14" t="str">
        <x:v>Exact consolidated signatures require extraction.</x:v>
      </x:c>
      <x:c r="O84" s="14" t="str">
        <x:v>10.1016/j.jid.2021.11.035</x:v>
      </x:c>
      <x:c r="P84" s="14" t="str">
        <x:v>https://doi.org/10.1016/j.jid.2021.11.035</x:v>
      </x:c>
      <x:c r="Q84" s="14" t="str">
        <x:v>Included</x:v>
      </x:c>
    </x:row>
    <x:row r="85">
      <x:c r="A85" s="14" t="str">
        <x:v>Non-cancer</x:v>
      </x:c>
      <x:c r="B85" s="14" t="str">
        <x:v>Psoriasis skin</x:v>
      </x:c>
      <x:c r="C85" s="14" t="str">
        <x:v>Human</x:v>
      </x:c>
      <x:c r="D85" s="14" t="str">
        <x:v>Ma</x:v>
      </x:c>
      <x:c r="E85" s="18" t="n">
        <x:v>2023</x:v>
      </x:c>
      <x:c r="F85" s="14" t="str">
        <x:v>Single-cell and spatial transcriptomics reveal fibroblast heterogeneity in psoriasis</x:v>
      </x:c>
      <x:c r="G85" s="14" t="str">
        <x:v>Nature Communications</x:v>
      </x:c>
      <x:c r="H85" s="14" t="str">
        <x:v>scRNA-seq plus spatial transcriptomics</x:v>
      </x:c>
      <x:c r="I85" s="14" t="str">
        <x:v>Explicit subtype framework</x:v>
      </x:c>
      <x:c r="J85" s="14" t="str">
        <x:v>4+</x:v>
      </x:c>
      <x:c r="K85" s="14" t="str">
        <x:v>Multiple inflammatory and matrix-associated fibroblast populations</x:v>
      </x:c>
      <x:c r="L85" s="14" t="str">
        <x:v>A</x:v>
      </x:c>
      <x:c r="M85" s="14" t="str">
        <x:v>Supplementary marker and spatial-DE tables</x:v>
      </x:c>
      <x:c r="N85" s="14" t="str">
        <x:v>Subtype-level genes are available.</x:v>
      </x:c>
      <x:c r="O85" s="14" t="str">
        <x:v>10.1038/s41467-023-39124-x</x:v>
      </x:c>
      <x:c r="P85" s="14" t="str">
        <x:v>https://doi.org/10.1038/s41467-023-39124-x</x:v>
      </x:c>
      <x:c r="Q85" s="14" t="str">
        <x:v>Included</x:v>
      </x:c>
    </x:row>
    <x:row r="86">
      <x:c r="A86" s="14" t="str">
        <x:v>Non-cancer</x:v>
      </x:c>
      <x:c r="B86" s="14" t="str">
        <x:v>Normal and injured lung</x:v>
      </x:c>
      <x:c r="C86" s="14" t="str">
        <x:v>Mouse</x:v>
      </x:c>
      <x:c r="D86" s="14" t="str">
        <x:v>Zepp</x:v>
      </x:c>
      <x:c r="E86" s="18" t="n">
        <x:v>2017</x:v>
      </x:c>
      <x:c r="F86" s="14" t="str">
        <x:v>Distinct mesenchymal lineages and niches promote epithelial self-renewal and myofibrogenesis in the lung</x:v>
      </x:c>
      <x:c r="G86" s="14" t="str">
        <x:v>Cell</x:v>
      </x:c>
      <x:c r="H86" s="14" t="str">
        <x:v>scRNA-seq</x:v>
      </x:c>
      <x:c r="I86" s="14" t="str">
        <x:v>Explicit subtype framework</x:v>
      </x:c>
      <x:c r="J86" s="14" t="str">
        <x:v>4+</x:v>
      </x:c>
      <x:c r="K86" s="14" t="str">
        <x:v>Distinct mesenchymal lineages including Axin2+ niche fibroblasts and myofibrogenic populations</x:v>
      </x:c>
      <x:c r="L86" s="14" t="str">
        <x:v>A</x:v>
      </x:c>
      <x:c r="M86" s="14" t="str">
        <x:v>Supplementary cluster-marker tables</x:v>
      </x:c>
      <x:c r="N86" s="14" t="str">
        <x:v>Lineage-specific transcriptomic signatures are supplied.</x:v>
      </x:c>
      <x:c r="O86" s="14" t="str">
        <x:v>10.1016/j.cell.2017.07.012</x:v>
      </x:c>
      <x:c r="P86" s="14" t="str">
        <x:v>https://doi.org/10.1016/j.cell.2017.07.012</x:v>
      </x:c>
      <x:c r="Q86" s="14" t="str">
        <x:v>Included</x:v>
      </x:c>
    </x:row>
    <x:row r="87">
      <x:c r="A87" s="14" t="str">
        <x:v>Non-cancer</x:v>
      </x:c>
      <x:c r="B87" s="14" t="str">
        <x:v>Normal and fibrotic lung</x:v>
      </x:c>
      <x:c r="C87" s="14" t="str">
        <x:v>Mouse</x:v>
      </x:c>
      <x:c r="D87" s="14" t="str">
        <x:v>Xie</x:v>
      </x:c>
      <x:c r="E87" s="18" t="n">
        <x:v>2018</x:v>
      </x:c>
      <x:c r="F87" s="14" t="str">
        <x:v>Single-cell deconvolution of fibroblast heterogeneity in mouse pulmonary fibrosis</x:v>
      </x:c>
      <x:c r="G87" s="14" t="str">
        <x:v>Cell Reports</x:v>
      </x:c>
      <x:c r="H87" s="14" t="str">
        <x:v>scRNA-seq</x:v>
      </x:c>
      <x:c r="I87" s="14" t="str">
        <x:v>Explicit subtype framework</x:v>
      </x:c>
      <x:c r="J87" s="14" t="str">
        <x:v>6+</x:v>
      </x:c>
      <x:c r="K87" s="14" t="str">
        <x:v>Six normal and seven fibrotic mesenchymal populations</x:v>
      </x:c>
      <x:c r="L87" s="14" t="str">
        <x:v>A</x:v>
      </x:c>
      <x:c r="M87" s="14" t="str">
        <x:v>Supplementary cluster-marker tables</x:v>
      </x:c>
      <x:c r="N87" s="14" t="str">
        <x:v>A detailed lung fibroblast taxonomy with recoverable markers.</x:v>
      </x:c>
      <x:c r="O87" s="14" t="str">
        <x:v>10.1016/j.celrep.2018.03.010</x:v>
      </x:c>
      <x:c r="P87" s="14" t="str">
        <x:v>https://doi.org/10.1016/j.celrep.2018.03.010</x:v>
      </x:c>
      <x:c r="Q87" s="14" t="str">
        <x:v>Included</x:v>
      </x:c>
    </x:row>
    <x:row r="88">
      <x:c r="A88" s="14" t="str">
        <x:v>Non-cancer</x:v>
      </x:c>
      <x:c r="B88" s="14" t="str">
        <x:v>Pulmonary fibrosis</x:v>
      </x:c>
      <x:c r="C88" s="14" t="str">
        <x:v>Human</x:v>
      </x:c>
      <x:c r="D88" s="14" t="str">
        <x:v>Reyfman</x:v>
      </x:c>
      <x:c r="E88" s="18" t="n">
        <x:v>2019</x:v>
      </x:c>
      <x:c r="F88" s="14" t="str">
        <x:v>Single-cell transcriptomic analysis of human lung provides insights into the pathobiology of pulmonary fibrosis</x:v>
      </x:c>
      <x:c r="G88" s="14" t="str">
        <x:v>American Journal of Respiratory and Critical Care Medicine</x:v>
      </x:c>
      <x:c r="H88" s="14" t="str">
        <x:v>scRNA-seq</x:v>
      </x:c>
      <x:c r="I88" s="14" t="str">
        <x:v>Atlas-derived taxonomy</x:v>
      </x:c>
      <x:c r="J88" s="14" t="str">
        <x:v>4+</x:v>
      </x:c>
      <x:c r="K88" s="14" t="str">
        <x:v>Multiple fibroblast and myofibroblast populations</x:v>
      </x:c>
      <x:c r="L88" s="14" t="str">
        <x:v>A</x:v>
      </x:c>
      <x:c r="M88" s="14" t="str">
        <x:v>Supplementary marker tables and web explorer</x:v>
      </x:c>
      <x:c r="N88" s="14" t="str">
        <x:v>Gene sets can be retrieved from the article supplements and explorer.</x:v>
      </x:c>
      <x:c r="O88" s="14" t="str">
        <x:v>10.1164/rccm.201712-2410OC</x:v>
      </x:c>
      <x:c r="P88" s="14" t="str">
        <x:v>https://doi.org/10.1164/rccm.201712-2410OC</x:v>
      </x:c>
      <x:c r="Q88" s="14" t="str">
        <x:v>Included</x:v>
      </x:c>
    </x:row>
    <x:row r="89">
      <x:c r="A89" s="14" t="str">
        <x:v>Non-cancer</x:v>
      </x:c>
      <x:c r="B89" s="14" t="str">
        <x:v>Systemic sclerosis-associated interstitial lung disease</x:v>
      </x:c>
      <x:c r="C89" s="14" t="str">
        <x:v>Human</x:v>
      </x:c>
      <x:c r="D89" s="14" t="str">
        <x:v>Valenzi</x:v>
      </x:c>
      <x:c r="E89" s="18" t="n">
        <x:v>2019</x:v>
      </x:c>
      <x:c r="F89" s="14" t="str">
        <x:v>Single-cell analysis reveals fibroblast heterogeneity and myofibroblasts in systemic sclerosis-associated interstitial lung disease</x:v>
      </x:c>
      <x:c r="G89" s="14" t="str">
        <x:v>Annals of the Rheumatic Diseases</x:v>
      </x:c>
      <x:c r="H89" s="14" t="str">
        <x:v>scRNA-seq</x:v>
      </x:c>
      <x:c r="I89" s="14" t="str">
        <x:v>Explicit subtype framework</x:v>
      </x:c>
      <x:c r="J89" s="14" t="str">
        <x:v>4+</x:v>
      </x:c>
      <x:c r="K89" s="14" t="str">
        <x:v>Multiple fibroblast transcriptome-phenotypes</x:v>
      </x:c>
      <x:c r="L89" s="14" t="str">
        <x:v>A</x:v>
      </x:c>
      <x:c r="M89" s="14" t="str">
        <x:v>Supplementary cluster-marker tables</x:v>
      </x:c>
      <x:c r="N89" s="14" t="str">
        <x:v>Subtype markers are directly provided.</x:v>
      </x:c>
      <x:c r="O89" s="14" t="str">
        <x:v>10.1136/annrheumdis-2018-214865</x:v>
      </x:c>
      <x:c r="P89" s="14" t="str">
        <x:v>https://doi.org/10.1136/annrheumdis-2018-214865</x:v>
      </x:c>
      <x:c r="Q89" s="14" t="str">
        <x:v>Included</x:v>
      </x:c>
    </x:row>
    <x:row r="90">
      <x:c r="A90" s="14" t="str">
        <x:v>Non-cancer</x:v>
      </x:c>
      <x:c r="B90" s="14" t="str">
        <x:v>Idiopathic pulmonary fibrosis</x:v>
      </x:c>
      <x:c r="C90" s="14" t="str">
        <x:v>Human</x:v>
      </x:c>
      <x:c r="D90" s="14" t="str">
        <x:v>Adams</x:v>
      </x:c>
      <x:c r="E90" s="18" t="n">
        <x:v>2020</x:v>
      </x:c>
      <x:c r="F90" s="14" t="str">
        <x:v>Single-cell RNA-seq reveals ectopic and aberrant lung-resident cell populations in idiopathic pulmonary fibrosis</x:v>
      </x:c>
      <x:c r="G90" s="14" t="str">
        <x:v>Science Advances</x:v>
      </x:c>
      <x:c r="H90" s="14" t="str">
        <x:v>scRNA-seq</x:v>
      </x:c>
      <x:c r="I90" s="14" t="str">
        <x:v>Atlas-derived taxonomy</x:v>
      </x:c>
      <x:c r="J90" s="14" t="str">
        <x:v>4+</x:v>
      </x:c>
      <x:c r="K90" s="14" t="str">
        <x:v>Multiple fibroblast, myofibroblast and aberrant basaloid-associated stromal states</x:v>
      </x:c>
      <x:c r="L90" s="14" t="str">
        <x:v>A</x:v>
      </x:c>
      <x:c r="M90" s="14" t="str">
        <x:v>Supplementary marker tables and online browser</x:v>
      </x:c>
      <x:c r="N90" s="14" t="str">
        <x:v>Fibroblast cluster genes are directly retrievable.</x:v>
      </x:c>
      <x:c r="O90" s="14" t="str">
        <x:v>10.1126/sciadv.aba1983</x:v>
      </x:c>
      <x:c r="P90" s="14" t="str">
        <x:v>https://doi.org/10.1126/sciadv.aba1983</x:v>
      </x:c>
      <x:c r="Q90" s="14" t="str">
        <x:v>Included</x:v>
      </x:c>
    </x:row>
    <x:row r="91">
      <x:c r="A91" s="14" t="str">
        <x:v>Non-cancer</x:v>
      </x:c>
      <x:c r="B91" s="14" t="str">
        <x:v>Pulmonary fibrosis</x:v>
      </x:c>
      <x:c r="C91" s="14" t="str">
        <x:v>Human</x:v>
      </x:c>
      <x:c r="D91" s="14" t="str">
        <x:v>Habermann</x:v>
      </x:c>
      <x:c r="E91" s="18" t="n">
        <x:v>2020</x:v>
      </x:c>
      <x:c r="F91" s="14" t="str">
        <x:v>Single-cell RNA sequencing reveals profibrotic roles of distinct epithelial and mesenchymal lineages in pulmonary fibrosis</x:v>
      </x:c>
      <x:c r="G91" s="14" t="str">
        <x:v>Science Advances</x:v>
      </x:c>
      <x:c r="H91" s="14" t="str">
        <x:v>scRNA-seq</x:v>
      </x:c>
      <x:c r="I91" s="14" t="str">
        <x:v>Explicit subtype framework</x:v>
      </x:c>
      <x:c r="J91" s="14" t="str">
        <x:v>4+</x:v>
      </x:c>
      <x:c r="K91" s="14" t="str">
        <x:v>Distinct fibroblast and myofibroblast lineages</x:v>
      </x:c>
      <x:c r="L91" s="14" t="str">
        <x:v>A</x:v>
      </x:c>
      <x:c r="M91" s="14" t="str">
        <x:v>Supplementary marker tables and processed data</x:v>
      </x:c>
      <x:c r="N91" s="14" t="str">
        <x:v>Subtype signatures are recoverable.</x:v>
      </x:c>
      <x:c r="O91" s="14" t="str">
        <x:v>10.1126/sciadv.aba1972</x:v>
      </x:c>
      <x:c r="P91" s="14" t="str">
        <x:v>https://doi.org/10.1126/sciadv.aba1972</x:v>
      </x:c>
      <x:c r="Q91" s="14" t="str">
        <x:v>Included</x:v>
      </x:c>
    </x:row>
    <x:row r="92">
      <x:c r="A92" s="14" t="str">
        <x:v>Non-cancer</x:v>
      </x:c>
      <x:c r="B92" s="14" t="str">
        <x:v>Pulmonary fibrosis</x:v>
      </x:c>
      <x:c r="C92" s="14" t="str">
        <x:v>Mouse and human</x:v>
      </x:c>
      <x:c r="D92" s="14" t="str">
        <x:v>Tsukui</x:v>
      </x:c>
      <x:c r="E92" s="18" t="n">
        <x:v>2020</x:v>
      </x:c>
      <x:c r="F92" s="14" t="str">
        <x:v>Collagen-producing lung cell atlas identifies multiple subsets with distinct localization and relevance to fibrosis</x:v>
      </x:c>
      <x:c r="G92" s="14" t="str">
        <x:v>Nature Communications</x:v>
      </x:c>
      <x:c r="H92" s="14" t="str">
        <x:v>scRNA-seq</x:v>
      </x:c>
      <x:c r="I92" s="14" t="str">
        <x:v>Explicit subtype framework</x:v>
      </x:c>
      <x:c r="J92" s="14" t="str">
        <x:v>6+</x:v>
      </x:c>
      <x:c r="K92" s="14" t="str">
        <x:v>Multiple collagen-producing fibroblast and mesenchymal populations</x:v>
      </x:c>
      <x:c r="L92" s="14" t="str">
        <x:v>A</x:v>
      </x:c>
      <x:c r="M92" s="14" t="str">
        <x:v>Supplementary cluster-marker tables</x:v>
      </x:c>
      <x:c r="N92" s="14" t="str">
        <x:v>A direct collagen-producing stromal-cell atlas.</x:v>
      </x:c>
      <x:c r="O92" s="14" t="str">
        <x:v>10.1038/s41467-020-15647-5</x:v>
      </x:c>
      <x:c r="P92" s="14" t="str">
        <x:v>https://doi.org/10.1038/s41467-020-15647-5</x:v>
      </x:c>
      <x:c r="Q92" s="14" t="str">
        <x:v>Included</x:v>
      </x:c>
    </x:row>
    <x:row r="93">
      <x:c r="A93" s="14" t="str">
        <x:v>Non-cancer</x:v>
      </x:c>
      <x:c r="B93" s="14" t="str">
        <x:v>Healthy adult lung</x:v>
      </x:c>
      <x:c r="C93" s="14" t="str">
        <x:v>Human</x:v>
      </x:c>
      <x:c r="D93" s="14" t="str">
        <x:v>Travaglini</x:v>
      </x:c>
      <x:c r="E93" s="18" t="n">
        <x:v>2020</x:v>
      </x:c>
      <x:c r="F93" s="14" t="str">
        <x:v>A molecular cell atlas of the human lung from single-cell RNA sequencing</x:v>
      </x:c>
      <x:c r="G93" s="14" t="str">
        <x:v>Nature</x:v>
      </x:c>
      <x:c r="H93" s="14" t="str">
        <x:v>scRNA-seq atlas</x:v>
      </x:c>
      <x:c r="I93" s="14" t="str">
        <x:v>Atlas-derived taxonomy</x:v>
      </x:c>
      <x:c r="J93" s="14" t="str">
        <x:v>4+</x:v>
      </x:c>
      <x:c r="K93" s="14" t="str">
        <x:v>Alveolar, adventitial, lipofibroblast and myofibroblast populations</x:v>
      </x:c>
      <x:c r="L93" s="14" t="str">
        <x:v>A</x:v>
      </x:c>
      <x:c r="M93" s="14" t="str">
        <x:v>Supplementary cell-type marker tables and online atlas</x:v>
      </x:c>
      <x:c r="N93" s="14" t="str">
        <x:v>Fibroblast subtype genes are directly available.</x:v>
      </x:c>
      <x:c r="O93" s="14" t="str">
        <x:v>10.1038/s41586-020-2922-4</x:v>
      </x:c>
      <x:c r="P93" s="14" t="str">
        <x:v>https://doi.org/10.1038/s41586-020-2922-4</x:v>
      </x:c>
      <x:c r="Q93" s="14" t="str">
        <x:v>Included</x:v>
      </x:c>
    </x:row>
    <x:row r="94">
      <x:c r="A94" s="14" t="str">
        <x:v>Non-cancer</x:v>
      </x:c>
      <x:c r="B94" s="14" t="str">
        <x:v>Lung injury and regeneration</x:v>
      </x:c>
      <x:c r="C94" s="14" t="str">
        <x:v>Mouse</x:v>
      </x:c>
      <x:c r="D94" s="14" t="str">
        <x:v>Strunz</x:v>
      </x:c>
      <x:c r="E94" s="18" t="n">
        <x:v>2020</x:v>
      </x:c>
      <x:c r="F94" s="14" t="str">
        <x:v>Alveolar regeneration through a Krt8+ transitional stem cell state that persists in human lung fibrosis</x:v>
      </x:c>
      <x:c r="G94" s="14" t="str">
        <x:v>Nature Communications</x:v>
      </x:c>
      <x:c r="H94" s="14" t="str">
        <x:v>scRNA-seq</x:v>
      </x:c>
      <x:c r="I94" s="14" t="str">
        <x:v>Atlas-derived taxonomy</x:v>
      </x:c>
      <x:c r="J94" s="14" t="str">
        <x:v>3+</x:v>
      </x:c>
      <x:c r="K94" s="14" t="str">
        <x:v>Multiple homeostatic, activated and myofibroblast stromal states</x:v>
      </x:c>
      <x:c r="L94" s="14" t="str">
        <x:v>B</x:v>
      </x:c>
      <x:c r="M94" s="14" t="str">
        <x:v>Supplementary cluster-marker tables</x:v>
      </x:c>
      <x:c r="N94" s="14" t="str">
        <x:v>Fibroblast genes are recoverable from the atlas, though fibroblasts are not the sole focus.</x:v>
      </x:c>
      <x:c r="O94" s="14" t="str">
        <x:v>10.1038/s41467-020-17358-3</x:v>
      </x:c>
      <x:c r="P94" s="14" t="str">
        <x:v>https://doi.org/10.1038/s41467-020-17358-3</x:v>
      </x:c>
      <x:c r="Q94" s="14" t="str">
        <x:v>Included</x:v>
      </x:c>
    </x:row>
    <x:row r="95">
      <x:c r="A95" s="14" t="str">
        <x:v>Non-cancer</x:v>
      </x:c>
      <x:c r="B95" s="14" t="str">
        <x:v>Kidney-associated pulmonary fibrosis models</x:v>
      </x:c>
      <x:c r="C95" s="14" t="str">
        <x:v>Mouse</x:v>
      </x:c>
      <x:c r="D95" s="14" t="str">
        <x:v>Rudman-Melnick</x:v>
      </x:c>
      <x:c r="E95" s="18" t="n">
        <x:v>2024</x:v>
      </x:c>
      <x:c r="F95" s="14" t="str">
        <x:v>Single-cell sequencing dissects the transcriptional identity of fibroblasts in experimental kidney fibrosis</x:v>
      </x:c>
      <x:c r="G95" s="14" t="str">
        <x:v>Scientific Reports</x:v>
      </x:c>
      <x:c r="H95" s="14" t="str">
        <x:v>scRNA-seq</x:v>
      </x:c>
      <x:c r="I95" s="14" t="str">
        <x:v>Explicit subtype framework</x:v>
      </x:c>
      <x:c r="J95" s="14" t="str">
        <x:v>3</x:v>
      </x:c>
      <x:c r="K95" s="14" t="str">
        <x:v>Secretory, contractile and migratory fibroblasts</x:v>
      </x:c>
      <x:c r="L95" s="14" t="str">
        <x:v>A</x:v>
      </x:c>
      <x:c r="M95" s="14" t="str">
        <x:v>Supplementary marker tables</x:v>
      </x:c>
      <x:c r="N95" s="14" t="str">
        <x:v>Three explicit fibroblast signatures.</x:v>
      </x:c>
      <x:c r="O95" s="14" t="str">
        <x:v>10.1038/s41598-023-50195-0</x:v>
      </x:c>
      <x:c r="P95" s="14" t="str">
        <x:v>https://doi.org/10.1038/s41598-023-50195-0</x:v>
      </x:c>
      <x:c r="Q95" s="14" t="str">
        <x:v>Included</x:v>
      </x:c>
    </x:row>
    <x:row r="96">
      <x:c r="A96" s="14" t="str">
        <x:v>Non-cancer</x:v>
      </x:c>
      <x:c r="B96" s="14" t="str">
        <x:v>Rheumatoid arthritis synovium</x:v>
      </x:c>
      <x:c r="C96" s="14" t="str">
        <x:v>Human</x:v>
      </x:c>
      <x:c r="D96" s="14" t="str">
        <x:v>Mizoguchi</x:v>
      </x:c>
      <x:c r="E96" s="18" t="n">
        <x:v>2018</x:v>
      </x:c>
      <x:c r="F96" s="14" t="str">
        <x:v>Functionally distinct disease-associated fibroblast subsets in rheumatoid arthritis</x:v>
      </x:c>
      <x:c r="G96" s="14" t="str">
        <x:v>Nature Communications</x:v>
      </x:c>
      <x:c r="H96" s="14" t="str">
        <x:v>Bulk RNA-seq of sorted subsets plus validation</x:v>
      </x:c>
      <x:c r="I96" s="14" t="str">
        <x:v>Bulk purified-cell taxonomy</x:v>
      </x:c>
      <x:c r="J96" s="14" t="str">
        <x:v>3</x:v>
      </x:c>
      <x:c r="K96" s="14" t="str">
        <x:v>CD34−THY1−, CD34−THY1+ and CD34+ fibroblasts</x:v>
      </x:c>
      <x:c r="L96" s="14" t="str">
        <x:v>A</x:v>
      </x:c>
      <x:c r="M96" s="14" t="str">
        <x:v>Supplementary sorted-subset expression and marker tables</x:v>
      </x:c>
      <x:c r="N96" s="14" t="str">
        <x:v>A foundational three-class synovial fibroblast framework.</x:v>
      </x:c>
      <x:c r="O96" s="14" t="str">
        <x:v>10.1038/s41467-018-02892-y</x:v>
      </x:c>
      <x:c r="P96" s="14" t="str">
        <x:v>https://doi.org/10.1038/s41467-018-02892-y</x:v>
      </x:c>
      <x:c r="Q96" s="14" t="str">
        <x:v>Included</x:v>
      </x:c>
    </x:row>
    <x:row r="97">
      <x:c r="A97" s="14" t="str">
        <x:v>Non-cancer</x:v>
      </x:c>
      <x:c r="B97" s="14" t="str">
        <x:v>Rheumatoid arthritis synovium</x:v>
      </x:c>
      <x:c r="C97" s="14" t="str">
        <x:v>Human</x:v>
      </x:c>
      <x:c r="D97" s="14" t="str">
        <x:v>Stephenson</x:v>
      </x:c>
      <x:c r="E97" s="18" t="n">
        <x:v>2018</x:v>
      </x:c>
      <x:c r="F97" s="14" t="str">
        <x:v>Single-cell RNA-seq of rheumatoid arthritis synovial tissue using low-cost microfluidic instrumentation</x:v>
      </x:c>
      <x:c r="G97" s="14" t="str">
        <x:v>Nature Communications</x:v>
      </x:c>
      <x:c r="H97" s="14" t="str">
        <x:v>scRNA-seq</x:v>
      </x:c>
      <x:c r="I97" s="14" t="str">
        <x:v>Explicit subtype framework</x:v>
      </x:c>
      <x:c r="J97" s="14" t="str">
        <x:v>3</x:v>
      </x:c>
      <x:c r="K97" s="14" t="str">
        <x:v>Three synovial fibroblast populations organized around CD55 and THY1</x:v>
      </x:c>
      <x:c r="L97" s="14" t="str">
        <x:v>A</x:v>
      </x:c>
      <x:c r="M97" s="14" t="str">
        <x:v>Supplementary cluster-marker tables</x:v>
      </x:c>
      <x:c r="N97" s="14" t="str">
        <x:v>Cluster-level genes are available.</x:v>
      </x:c>
      <x:c r="O97" s="14" t="str">
        <x:v>10.1038/s41467-017-02659-x</x:v>
      </x:c>
      <x:c r="P97" s="14" t="str">
        <x:v>https://doi.org/10.1038/s41467-017-02659-x</x:v>
      </x:c>
      <x:c r="Q97" s="14" t="str">
        <x:v>Included</x:v>
      </x:c>
    </x:row>
    <x:row r="98">
      <x:c r="A98" s="14" t="str">
        <x:v>Non-cancer</x:v>
      </x:c>
      <x:c r="B98" s="14" t="str">
        <x:v>Inflammatory arthritis</x:v>
      </x:c>
      <x:c r="C98" s="14" t="str">
        <x:v>Mouse and human</x:v>
      </x:c>
      <x:c r="D98" s="14" t="str">
        <x:v>Croft</x:v>
      </x:c>
      <x:c r="E98" s="18" t="n">
        <x:v>2019</x:v>
      </x:c>
      <x:c r="F98" s="14" t="str">
        <x:v>Distinct fibroblast subsets drive inflammation and damage in arthritis</x:v>
      </x:c>
      <x:c r="G98" s="14" t="str">
        <x:v>Nature</x:v>
      </x:c>
      <x:c r="H98" s="14" t="str">
        <x:v>scRNA-seq and lineage/function studies</x:v>
      </x:c>
      <x:c r="I98" s="14" t="str">
        <x:v>Explicit subtype framework</x:v>
      </x:c>
      <x:c r="J98" s="14" t="str">
        <x:v>5</x:v>
      </x:c>
      <x:c r="K98" s="14" t="str">
        <x:v>Five fibroblast states, including FAPα+THY1+ inflammatory and FAPα+THY1− destructive fibroblasts</x:v>
      </x:c>
      <x:c r="L98" s="14" t="str">
        <x:v>A</x:v>
      </x:c>
      <x:c r="M98" s="14" t="str">
        <x:v>Supplementary cluster-marker tables</x:v>
      </x:c>
      <x:c r="N98" s="14" t="str">
        <x:v>A reusable functional taxonomy.</x:v>
      </x:c>
      <x:c r="O98" s="14" t="str">
        <x:v>10.1038/s41586-019-1263-7</x:v>
      </x:c>
      <x:c r="P98" s="14" t="str">
        <x:v>https://doi.org/10.1038/s41586-019-1263-7</x:v>
      </x:c>
      <x:c r="Q98" s="14" t="str">
        <x:v>Included</x:v>
      </x:c>
    </x:row>
    <x:row r="99">
      <x:c r="A99" s="14" t="str">
        <x:v>Non-cancer</x:v>
      </x:c>
      <x:c r="B99" s="14" t="str">
        <x:v>Rheumatoid arthritis synovium</x:v>
      </x:c>
      <x:c r="C99" s="14" t="str">
        <x:v>Human</x:v>
      </x:c>
      <x:c r="D99" s="14" t="str">
        <x:v>Zhang</x:v>
      </x:c>
      <x:c r="E99" s="18" t="n">
        <x:v>2019</x:v>
      </x:c>
      <x:c r="F99" s="14" t="str">
        <x:v>Defining inflammatory cell states in rheumatoid arthritis joint synovial tissues by integrating single-cell transcriptomics and mass cytometry</x:v>
      </x:c>
      <x:c r="G99" s="14" t="str">
        <x:v>Nature Immunology</x:v>
      </x:c>
      <x:c r="H99" s="14" t="str">
        <x:v>scRNA-seq plus mass cytometry</x:v>
      </x:c>
      <x:c r="I99" s="14" t="str">
        <x:v>Explicit subtype framework</x:v>
      </x:c>
      <x:c r="J99" s="14" t="str">
        <x:v>4</x:v>
      </x:c>
      <x:c r="K99" s="14" t="str">
        <x:v>Four fibroblast populations</x:v>
      </x:c>
      <x:c r="L99" s="14" t="str">
        <x:v>A</x:v>
      </x:c>
      <x:c r="M99" s="14" t="str">
        <x:v>Supplementary marker tables and ImmPort/public processed data</x:v>
      </x:c>
      <x:c r="N99" s="14" t="str">
        <x:v>Cluster signatures are directly retrievable.</x:v>
      </x:c>
      <x:c r="O99" s="14" t="str">
        <x:v>10.1038/s41590-019-0378-1</x:v>
      </x:c>
      <x:c r="P99" s="14" t="str">
        <x:v>https://doi.org/10.1038/s41590-019-0378-1</x:v>
      </x:c>
      <x:c r="Q99" s="14" t="str">
        <x:v>Included</x:v>
      </x:c>
    </x:row>
    <x:row r="100">
      <x:c r="A100" s="14" t="str">
        <x:v>Non-cancer</x:v>
      </x:c>
      <x:c r="B100" s="14" t="str">
        <x:v>Rheumatoid arthritis synovium</x:v>
      </x:c>
      <x:c r="C100" s="14" t="str">
        <x:v>Human</x:v>
      </x:c>
      <x:c r="D100" s="14" t="str">
        <x:v>Alivernini</x:v>
      </x:c>
      <x:c r="E100" s="18" t="n">
        <x:v>2020</x:v>
      </x:c>
      <x:c r="F100" s="14" t="str">
        <x:v>Distinct synovial tissue macrophage subsets regulate inflammation and remission in rheumatoid arthritis</x:v>
      </x:c>
      <x:c r="G100" s="14" t="str">
        <x:v>Nature Medicine</x:v>
      </x:c>
      <x:c r="H100" s="14" t="str">
        <x:v>scRNA-seq</x:v>
      </x:c>
      <x:c r="I100" s="14" t="str">
        <x:v>Atlas-derived taxonomy</x:v>
      </x:c>
      <x:c r="J100" s="14" t="str">
        <x:v>4+</x:v>
      </x:c>
      <x:c r="K100" s="14" t="str">
        <x:v>Multiple synovial fibroblast states accompanying macrophage niches</x:v>
      </x:c>
      <x:c r="L100" s="14" t="str">
        <x:v>B</x:v>
      </x:c>
      <x:c r="M100" s="14" t="str">
        <x:v>Supplementary cluster-marker tables</x:v>
      </x:c>
      <x:c r="N100" s="14" t="str">
        <x:v>Fibroblast signatures are atlas-derived rather than the sole focus.</x:v>
      </x:c>
      <x:c r="O100" s="14" t="str">
        <x:v>10.1038/s41591-020-0939-8</x:v>
      </x:c>
      <x:c r="P100" s="14" t="str">
        <x:v>https://doi.org/10.1038/s41591-020-0939-8</x:v>
      </x:c>
      <x:c r="Q100" s="14" t="str">
        <x:v>Included</x:v>
      </x:c>
    </x:row>
    <x:row r="101">
      <x:c r="A101" s="14" t="str">
        <x:v>Non-cancer</x:v>
      </x:c>
      <x:c r="B101" s="14" t="str">
        <x:v>Inflammatory arthritis</x:v>
      </x:c>
      <x:c r="C101" s="14" t="str">
        <x:v>Mouse and human</x:v>
      </x:c>
      <x:c r="D101" s="14" t="str">
        <x:v>Wei</x:v>
      </x:c>
      <x:c r="E101" s="18" t="n">
        <x:v>2020</x:v>
      </x:c>
      <x:c r="F101" s="14" t="str">
        <x:v>Notch signalling drives synovial fibroblast identity and arthritis pathology</x:v>
      </x:c>
      <x:c r="G101" s="14" t="str">
        <x:v>Nature</x:v>
      </x:c>
      <x:c r="H101" s="14" t="str">
        <x:v>scRNA-seq plus spatial and perturbation studies</x:v>
      </x:c>
      <x:c r="I101" s="14" t="str">
        <x:v>Explicit subtype framework</x:v>
      </x:c>
      <x:c r="J101" s="14" t="str">
        <x:v>4+</x:v>
      </x:c>
      <x:c r="K101" s="14" t="str">
        <x:v>Positionally specified lining and sublining fibroblast identities</x:v>
      </x:c>
      <x:c r="L101" s="14" t="str">
        <x:v>A</x:v>
      </x:c>
      <x:c r="M101" s="14" t="str">
        <x:v>Supplementary marker and regulatory-program tables</x:v>
      </x:c>
      <x:c r="N101" s="14" t="str">
        <x:v>Subtype genes are directly supplied.</x:v>
      </x:c>
      <x:c r="O101" s="14" t="str">
        <x:v>10.1038/s41586-020-2222-z</x:v>
      </x:c>
      <x:c r="P101" s="14" t="str">
        <x:v>https://doi.org/10.1038/s41586-020-2222-z</x:v>
      </x:c>
      <x:c r="Q101" s="14" t="str">
        <x:v>Included</x:v>
      </x:c>
    </x:row>
    <x:row r="102">
      <x:c r="A102" s="14" t="str">
        <x:v>Non-cancer</x:v>
      </x:c>
      <x:c r="B102" s="14" t="str">
        <x:v>Rheumatoid arthritis and TNF-driven arthritis</x:v>
      </x:c>
      <x:c r="C102" s="14" t="str">
        <x:v>Human and mouse</x:v>
      </x:c>
      <x:c r="D102" s="14" t="str">
        <x:v>Armaka</x:v>
      </x:c>
      <x:c r="E102" s="18" t="n">
        <x:v>2022</x:v>
      </x:c>
      <x:c r="F102" s="14" t="str">
        <x:v>Single-cell multimodal analysis identifies common regulatory programs in synovial fibroblasts of rheumatoid arthritis patients and modeled TNF-driven arthritis</x:v>
      </x:c>
      <x:c r="G102" s="14" t="str">
        <x:v>Genome Medicine</x:v>
      </x:c>
      <x:c r="H102" s="14" t="str">
        <x:v>scRNA-seq plus scATAC-seq</x:v>
      </x:c>
      <x:c r="I102" s="14" t="str">
        <x:v>Explicit subtype framework</x:v>
      </x:c>
      <x:c r="J102" s="14" t="str">
        <x:v>4+</x:v>
      </x:c>
      <x:c r="K102" s="14" t="str">
        <x:v>Shared regulatory fibroblast programs across human and mouse arthritis</x:v>
      </x:c>
      <x:c r="L102" s="14" t="str">
        <x:v>A</x:v>
      </x:c>
      <x:c r="M102" s="14" t="str">
        <x:v>Supplementary marker and regulatory-program tables</x:v>
      </x:c>
      <x:c r="N102" s="14" t="str">
        <x:v>Gene and regulatory signatures are downloadable.</x:v>
      </x:c>
      <x:c r="O102" s="14" t="str">
        <x:v>10.1186/s13073-022-01081-3</x:v>
      </x:c>
      <x:c r="P102" s="14" t="str">
        <x:v>https://doi.org/10.1186/s13073-022-01081-3</x:v>
      </x:c>
      <x:c r="Q102" s="14" t="str">
        <x:v>Included</x:v>
      </x:c>
    </x:row>
    <x:row r="103">
      <x:c r="A103" s="14" t="str">
        <x:v>Non-cancer</x:v>
      </x:c>
      <x:c r="B103" s="14" t="str">
        <x:v>Rheumatoid arthritis synovium</x:v>
      </x:c>
      <x:c r="C103" s="14" t="str">
        <x:v>Human</x:v>
      </x:c>
      <x:c r="D103" s="14" t="str">
        <x:v>Smith</x:v>
      </x:c>
      <x:c r="E103" s="18" t="n">
        <x:v>2023</x:v>
      </x:c>
      <x:c r="F103" s="14" t="str">
        <x:v>Single-cell multimodal profiling of rheumatoid arthritis synovial fibroblasts reveals pathogenic states</x:v>
      </x:c>
      <x:c r="G103" s="14" t="str">
        <x:v>Nature Immunology</x:v>
      </x:c>
      <x:c r="H103" s="14" t="str">
        <x:v>Paired scRNA-seq and scATAC-seq</x:v>
      </x:c>
      <x:c r="I103" s="14" t="str">
        <x:v>Explicit subtype framework</x:v>
      </x:c>
      <x:c r="J103" s="14" t="str">
        <x:v>4+</x:v>
      </x:c>
      <x:c r="K103" s="14" t="str">
        <x:v>Multiple pathogenic and homeostatic fibroblast states</x:v>
      </x:c>
      <x:c r="L103" s="14" t="str">
        <x:v>A</x:v>
      </x:c>
      <x:c r="M103" s="14" t="str">
        <x:v>Supplementary marker and peak-to-gene tables</x:v>
      </x:c>
      <x:c r="N103" s="14" t="str">
        <x:v>Subtype-level transcriptomic genes are available.</x:v>
      </x:c>
      <x:c r="O103" s="14" t="str">
        <x:v>10.1038/s41590-023-01527-9</x:v>
      </x:c>
      <x:c r="P103" s="14" t="str">
        <x:v>https://doi.org/10.1038/s41590-023-01527-9</x:v>
      </x:c>
      <x:c r="Q103" s="14" t="str">
        <x:v>Included</x:v>
      </x:c>
    </x:row>
    <x:row r="104">
      <x:c r="A104" s="14" t="str">
        <x:v>Non-cancer</x:v>
      </x:c>
      <x:c r="B104" s="14" t="str">
        <x:v>Rheumatoid arthritis synovium</x:v>
      </x:c>
      <x:c r="C104" s="14" t="str">
        <x:v>Human</x:v>
      </x:c>
      <x:c r="D104" s="14" t="str">
        <x:v>Zhang</x:v>
      </x:c>
      <x:c r="E104" s="18" t="n">
        <x:v>2023</x:v>
      </x:c>
      <x:c r="F104" s="14" t="str">
        <x:v>Deconstruction of rheumatoid arthritis synovium defines inflammatory subtypes</x:v>
      </x:c>
      <x:c r="G104" s="14" t="str">
        <x:v>Nature</x:v>
      </x:c>
      <x:c r="H104" s="14" t="str">
        <x:v>Multimodal single-cell atlas</x:v>
      </x:c>
      <x:c r="I104" s="14" t="str">
        <x:v>Atlas-derived taxonomy</x:v>
      </x:c>
      <x:c r="J104" s="14" t="str">
        <x:v>4+</x:v>
      </x:c>
      <x:c r="K104" s="14" t="str">
        <x:v>Multiple fibroblast states embedded in synovial tissue-cell states</x:v>
      </x:c>
      <x:c r="L104" s="14" t="str">
        <x:v>A</x:v>
      </x:c>
      <x:c r="M104" s="14" t="str">
        <x:v>Supplementary cell-state marker tables and public atlas</x:v>
      </x:c>
      <x:c r="N104" s="14" t="str">
        <x:v>Fibroblast signatures are recoverable from the cell-state resource.</x:v>
      </x:c>
      <x:c r="O104" s="14" t="str">
        <x:v>10.1038/s41586-023-06708-y</x:v>
      </x:c>
      <x:c r="P104" s="14" t="str">
        <x:v>https://doi.org/10.1038/s41586-023-06708-y</x:v>
      </x:c>
      <x:c r="Q104" s="14" t="str">
        <x:v>Included</x:v>
      </x:c>
    </x:row>
    <x:row r="105">
      <x:c r="A105" s="14" t="str">
        <x:v>Non-cancer</x:v>
      </x:c>
      <x:c r="B105" s="14" t="str">
        <x:v>Ulcerative colitis and healthy colon</x:v>
      </x:c>
      <x:c r="C105" s="14" t="str">
        <x:v>Human</x:v>
      </x:c>
      <x:c r="D105" s="14" t="str">
        <x:v>Kinchen</x:v>
      </x:c>
      <x:c r="E105" s="18" t="n">
        <x:v>2018</x:v>
      </x:c>
      <x:c r="F105" s="14" t="str">
        <x:v>Structural remodeling of the human colonic mesenchyme in inflammatory bowel disease</x:v>
      </x:c>
      <x:c r="G105" s="14" t="str">
        <x:v>Cell</x:v>
      </x:c>
      <x:c r="H105" s="14" t="str">
        <x:v>scRNA-seq</x:v>
      </x:c>
      <x:c r="I105" s="14" t="str">
        <x:v>Explicit subtype framework</x:v>
      </x:c>
      <x:c r="J105" s="14" t="str">
        <x:v>4+</x:v>
      </x:c>
      <x:c r="K105" s="14" t="str">
        <x:v>S1–S4 fibroblasts plus myofibroblast populations</x:v>
      </x:c>
      <x:c r="L105" s="14" t="str">
        <x:v>A</x:v>
      </x:c>
      <x:c r="M105" s="14" t="str">
        <x:v>Supplementary cluster-marker tables</x:v>
      </x:c>
      <x:c r="N105" s="14" t="str">
        <x:v>A foundational colonic mesenchymal taxonomy.</x:v>
      </x:c>
      <x:c r="O105" s="14" t="str">
        <x:v>10.1016/j.cell.2018.08.067</x:v>
      </x:c>
      <x:c r="P105" s="14" t="str">
        <x:v>https://doi.org/10.1016/j.cell.2018.08.067</x:v>
      </x:c>
      <x:c r="Q105" s="14" t="str">
        <x:v>Included</x:v>
      </x:c>
    </x:row>
    <x:row r="106">
      <x:c r="A106" s="14" t="str">
        <x:v>Non-cancer</x:v>
      </x:c>
      <x:c r="B106" s="14" t="str">
        <x:v>Ulcerative colitis and healthy colon</x:v>
      </x:c>
      <x:c r="C106" s="14" t="str">
        <x:v>Human</x:v>
      </x:c>
      <x:c r="D106" s="14" t="str">
        <x:v>Smillie</x:v>
      </x:c>
      <x:c r="E106" s="18" t="n">
        <x:v>2019</x:v>
      </x:c>
      <x:c r="F106" s="14" t="str">
        <x:v>Intra- and inter-cellular rewiring of the human colon during ulcerative colitis</x:v>
      </x:c>
      <x:c r="G106" s="14" t="str">
        <x:v>Cell</x:v>
      </x:c>
      <x:c r="H106" s="14" t="str">
        <x:v>scRNA-seq</x:v>
      </x:c>
      <x:c r="I106" s="14" t="str">
        <x:v>Atlas-derived taxonomy</x:v>
      </x:c>
      <x:c r="J106" s="14" t="str">
        <x:v>4+</x:v>
      </x:c>
      <x:c r="K106" s="14" t="str">
        <x:v>Multiple stromal populations including inflammatory fibroblasts</x:v>
      </x:c>
      <x:c r="L106" s="14" t="str">
        <x:v>A</x:v>
      </x:c>
      <x:c r="M106" s="14" t="str">
        <x:v>Supplementary cell-type marker tables and online atlas</x:v>
      </x:c>
      <x:c r="N106" s="14" t="str">
        <x:v>Fibroblast genes are directly retrievable.</x:v>
      </x:c>
      <x:c r="O106" s="14" t="str">
        <x:v>10.1016/j.cell.2019.06.029</x:v>
      </x:c>
      <x:c r="P106" s="14" t="str">
        <x:v>https://doi.org/10.1016/j.cell.2019.06.029</x:v>
      </x:c>
      <x:c r="Q106" s="14" t="str">
        <x:v>Included</x:v>
      </x:c>
    </x:row>
    <x:row r="107">
      <x:c r="A107" s="14" t="str">
        <x:v>Non-cancer</x:v>
      </x:c>
      <x:c r="B107" s="14" t="str">
        <x:v>Crohn disease</x:v>
      </x:c>
      <x:c r="C107" s="14" t="str">
        <x:v>Human</x:v>
      </x:c>
      <x:c r="D107" s="14" t="str">
        <x:v>Martin</x:v>
      </x:c>
      <x:c r="E107" s="18" t="n">
        <x:v>2019</x:v>
      </x:c>
      <x:c r="F107" s="14" t="str">
        <x:v>Single-cell analysis of Crohn's disease lesions identifies a pathogenic cellular module associated with resistance to anti-TNF therapy</x:v>
      </x:c>
      <x:c r="G107" s="14" t="str">
        <x:v>Cell</x:v>
      </x:c>
      <x:c r="H107" s="14" t="str">
        <x:v>scRNA-seq</x:v>
      </x:c>
      <x:c r="I107" s="14" t="str">
        <x:v>Atlas-derived taxonomy</x:v>
      </x:c>
      <x:c r="J107" s="14" t="str">
        <x:v>3+</x:v>
      </x:c>
      <x:c r="K107" s="14" t="str">
        <x:v>Multiple fibroblast/stromal states within the pathogenic module</x:v>
      </x:c>
      <x:c r="L107" s="14" t="str">
        <x:v>A</x:v>
      </x:c>
      <x:c r="M107" s="14" t="str">
        <x:v>Supplementary marker and module-gene tables</x:v>
      </x:c>
      <x:c r="N107" s="14" t="str">
        <x:v>Stromal signatures are directly supplied.</x:v>
      </x:c>
      <x:c r="O107" s="14" t="str">
        <x:v>10.1016/j.cell.2019.08.008</x:v>
      </x:c>
      <x:c r="P107" s="14" t="str">
        <x:v>https://doi.org/10.1016/j.cell.2019.08.008</x:v>
      </x:c>
      <x:c r="Q107" s="14" t="str">
        <x:v>Included</x:v>
      </x:c>
    </x:row>
    <x:row r="108">
      <x:c r="A108" s="14" t="str">
        <x:v>Non-cancer</x:v>
      </x:c>
      <x:c r="B108" s="14" t="str">
        <x:v>Intestinal homeostasis and tumor initiation</x:v>
      </x:c>
      <x:c r="C108" s="14" t="str">
        <x:v>Mouse</x:v>
      </x:c>
      <x:c r="D108" s="14" t="str">
        <x:v>Roulis</x:v>
      </x:c>
      <x:c r="E108" s="18" t="n">
        <x:v>2020</x:v>
      </x:c>
      <x:c r="F108" s="14" t="str">
        <x:v>Paracrine orchestration of intestinal tumorigenesis by a mesenchymal niche</x:v>
      </x:c>
      <x:c r="G108" s="14" t="str">
        <x:v>Nature</x:v>
      </x:c>
      <x:c r="H108" s="14" t="str">
        <x:v>scRNA-seq and spatial/function studies</x:v>
      </x:c>
      <x:c r="I108" s="14" t="str">
        <x:v>Explicit subtype framework</x:v>
      </x:c>
      <x:c r="J108" s="14" t="str">
        <x:v>4+</x:v>
      </x:c>
      <x:c r="K108" s="14" t="str">
        <x:v>Distinct telocyte, trophocyte, myofibroblast and inflammatory mesenchymal populations</x:v>
      </x:c>
      <x:c r="L108" s="14" t="str">
        <x:v>A</x:v>
      </x:c>
      <x:c r="M108" s="14" t="str">
        <x:v>Supplementary cluster-marker tables</x:v>
      </x:c>
      <x:c r="N108" s="14" t="str">
        <x:v>Mesenchymal subtype genes are available.</x:v>
      </x:c>
      <x:c r="O108" s="14" t="str">
        <x:v>10.1038/s41586-020-2166-3</x:v>
      </x:c>
      <x:c r="P108" s="14" t="str">
        <x:v>https://doi.org/10.1038/s41586-020-2166-3</x:v>
      </x:c>
      <x:c r="Q108" s="14" t="str">
        <x:v>Included</x:v>
      </x:c>
    </x:row>
    <x:row r="109">
      <x:c r="A109" s="14" t="str">
        <x:v>Non-cancer</x:v>
      </x:c>
      <x:c r="B109" s="14" t="str">
        <x:v>Human intestinal development</x:v>
      </x:c>
      <x:c r="C109" s="14" t="str">
        <x:v>Human</x:v>
      </x:c>
      <x:c r="D109" s="14" t="str">
        <x:v>Elmentaite</x:v>
      </x:c>
      <x:c r="E109" s="18" t="n">
        <x:v>2020</x:v>
      </x:c>
      <x:c r="F109" s="14" t="str">
        <x:v>Cells of the human intestinal tract mapped across space and time</x:v>
      </x:c>
      <x:c r="G109" s="14" t="str">
        <x:v>Nature</x:v>
      </x:c>
      <x:c r="H109" s="14" t="str">
        <x:v>scRNA-seq atlas</x:v>
      </x:c>
      <x:c r="I109" s="14" t="str">
        <x:v>Developmental atlas</x:v>
      </x:c>
      <x:c r="J109" s="14" t="str">
        <x:v>5+</x:v>
      </x:c>
      <x:c r="K109" s="14" t="str">
        <x:v>Multiple developmental fibroblast and mesenchymal populations</x:v>
      </x:c>
      <x:c r="L109" s="14" t="str">
        <x:v>A</x:v>
      </x:c>
      <x:c r="M109" s="14" t="str">
        <x:v>Supplementary marker tables and online atlas</x:v>
      </x:c>
      <x:c r="N109" s="14" t="str">
        <x:v>Subtype genes are accessible from the atlas.</x:v>
      </x:c>
      <x:c r="O109" s="14" t="str">
        <x:v>10.1038/s41586-021-03852-1</x:v>
      </x:c>
      <x:c r="P109" s="14" t="str">
        <x:v>https://doi.org/10.1038/s41586-021-03852-1</x:v>
      </x:c>
      <x:c r="Q109" s="14" t="str">
        <x:v>Included</x:v>
      </x:c>
    </x:row>
    <x:row r="110">
      <x:c r="A110" s="14" t="str">
        <x:v>Non-cancer</x:v>
      </x:c>
      <x:c r="B110" s="14" t="str">
        <x:v>Human intestinal development</x:v>
      </x:c>
      <x:c r="C110" s="14" t="str">
        <x:v>Human</x:v>
      </x:c>
      <x:c r="D110" s="14" t="str">
        <x:v>Fawkner-Corbett</x:v>
      </x:c>
      <x:c r="E110" s="18" t="n">
        <x:v>2021</x:v>
      </x:c>
      <x:c r="F110" s="14" t="str">
        <x:v>Spatiotemporal analysis of human intestinal development at single-cell resolution</x:v>
      </x:c>
      <x:c r="G110" s="14" t="str">
        <x:v>Cell</x:v>
      </x:c>
      <x:c r="H110" s="14" t="str">
        <x:v>scRNA-seq plus spatial profiling</x:v>
      </x:c>
      <x:c r="I110" s="14" t="str">
        <x:v>Developmental atlas</x:v>
      </x:c>
      <x:c r="J110" s="14" t="str">
        <x:v>5+</x:v>
      </x:c>
      <x:c r="K110" s="14" t="str">
        <x:v>Multiple spatially organized mesenchymal and fibroblast populations</x:v>
      </x:c>
      <x:c r="L110" s="14" t="str">
        <x:v>A</x:v>
      </x:c>
      <x:c r="M110" s="14" t="str">
        <x:v>Supplementary marker tables and processed atlas</x:v>
      </x:c>
      <x:c r="N110" s="14" t="str">
        <x:v>Gene sets are directly retrievable.</x:v>
      </x:c>
      <x:c r="O110" s="14" t="str">
        <x:v>10.1016/j.cell.2020.12.016</x:v>
      </x:c>
      <x:c r="P110" s="14" t="str">
        <x:v>https://doi.org/10.1016/j.cell.2020.12.016</x:v>
      </x:c>
      <x:c r="Q110" s="14" t="str">
        <x:v>Included</x:v>
      </x:c>
    </x:row>
    <x:row r="111">
      <x:c r="A111" s="14" t="str">
        <x:v>Non-cancer</x:v>
      </x:c>
      <x:c r="B111" s="14" t="str">
        <x:v>Healthy and diseased human colon</x:v>
      </x:c>
      <x:c r="C111" s="14" t="str">
        <x:v>Human</x:v>
      </x:c>
      <x:c r="D111" s="14" t="str">
        <x:v>Li</x:v>
      </x:c>
      <x:c r="E111" s="18" t="n">
        <x:v>2022</x:v>
      </x:c>
      <x:c r="F111" s="14" t="str">
        <x:v>Integrated map of human colon fibroblastic populations</x:v>
      </x:c>
      <x:c r="G111" s="14" t="str">
        <x:v>Communications Biology</x:v>
      </x:c>
      <x:c r="H111" s="14" t="str">
        <x:v>Integrated scRNA-seq</x:v>
      </x:c>
      <x:c r="I111" s="14" t="str">
        <x:v>Explicit subtype framework</x:v>
      </x:c>
      <x:c r="J111" s="14" t="str">
        <x:v>6+</x:v>
      </x:c>
      <x:c r="K111" s="14" t="str">
        <x:v>ECM, WNT/BMP, chemokine, myofibroblast and other fibroblast classes</x:v>
      </x:c>
      <x:c r="L111" s="14" t="str">
        <x:v>A</x:v>
      </x:c>
      <x:c r="M111" s="14" t="str">
        <x:v>Supplementary subtype marker tables</x:v>
      </x:c>
      <x:c r="N111" s="14" t="str">
        <x:v>The paper is explicitly designed as a colon fibroblast map.</x:v>
      </x:c>
      <x:c r="O111" s="14" t="str">
        <x:v>10.1038/s42003-022-04298-5</x:v>
      </x:c>
      <x:c r="P111" s="14" t="str">
        <x:v>https://doi.org/10.1038/s42003-022-04298-5</x:v>
      </x:c>
      <x:c r="Q111" s="14" t="str">
        <x:v>Included</x:v>
      </x:c>
    </x:row>
    <x:row r="112">
      <x:c r="A112" s="14" t="str">
        <x:v>Non-cancer</x:v>
      </x:c>
      <x:c r="B112" s="14" t="str">
        <x:v>Stricturing Crohn disease</x:v>
      </x:c>
      <x:c r="C112" s="14" t="str">
        <x:v>Human</x:v>
      </x:c>
      <x:c r="D112" s="14" t="str">
        <x:v>Mukherjee</x:v>
      </x:c>
      <x:c r="E112" s="18" t="n">
        <x:v>2023</x:v>
      </x:c>
      <x:c r="F112" s="14" t="str">
        <x:v>Stricturing Crohn's disease single-cell RNA sequencing reveals fibroblast heterogeneity and intercellular interactions</x:v>
      </x:c>
      <x:c r="G112" s="14" t="str">
        <x:v>Gastroenterology</x:v>
      </x:c>
      <x:c r="H112" s="14" t="str">
        <x:v>scRNA-seq</x:v>
      </x:c>
      <x:c r="I112" s="14" t="str">
        <x:v>Explicit subtype framework</x:v>
      </x:c>
      <x:c r="J112" s="14" t="str">
        <x:v>4+</x:v>
      </x:c>
      <x:c r="K112" s="14" t="str">
        <x:v>Multiple fibrosis-associated fibroblast populations</x:v>
      </x:c>
      <x:c r="L112" s="14" t="str">
        <x:v>A</x:v>
      </x:c>
      <x:c r="M112" s="14" t="str">
        <x:v>Supplementary cluster-marker tables</x:v>
      </x:c>
      <x:c r="N112" s="14" t="str">
        <x:v>Subtype-level genes are available.</x:v>
      </x:c>
      <x:c r="O112" s="14" t="str">
        <x:v>10.1053/j.gastro.2023.05.027</x:v>
      </x:c>
      <x:c r="P112" s="14" t="str">
        <x:v>https://doi.org/10.1053/j.gastro.2023.05.027</x:v>
      </x:c>
      <x:c r="Q112" s="14" t="str">
        <x:v>Included</x:v>
      </x:c>
    </x:row>
    <x:row r="113">
      <x:c r="A113" s="14" t="str">
        <x:v>Non-cancer</x:v>
      </x:c>
      <x:c r="B113" s="14" t="str">
        <x:v>Ileitis</x:v>
      </x:c>
      <x:c r="C113" s="14" t="str">
        <x:v>Mouse</x:v>
      </x:c>
      <x:c r="D113" s="14" t="str">
        <x:v>Iliopoulou</x:v>
      </x:c>
      <x:c r="E113" s="18" t="n">
        <x:v>2025</x:v>
      </x:c>
      <x:c r="F113" s="14" t="str">
        <x:v>Different fibroblast subtypes propel spatially defined ileal inflammation</x:v>
      </x:c>
      <x:c r="G113" s="14" t="str">
        <x:v>Nature Communications</x:v>
      </x:c>
      <x:c r="H113" s="14" t="str">
        <x:v>scRNA-seq plus spatial profiling</x:v>
      </x:c>
      <x:c r="I113" s="14" t="str">
        <x:v>Explicit subtype framework</x:v>
      </x:c>
      <x:c r="J113" s="14" t="str">
        <x:v>4+</x:v>
      </x:c>
      <x:c r="K113" s="14" t="str">
        <x:v>Spatially distinct ileal fibroblast subtypes</x:v>
      </x:c>
      <x:c r="L113" s="14" t="str">
        <x:v>A</x:v>
      </x:c>
      <x:c r="M113" s="14" t="str">
        <x:v>Supplementary marker and spatial-DE tables</x:v>
      </x:c>
      <x:c r="N113" s="14" t="str">
        <x:v>Direct subtype genes are supplied.</x:v>
      </x:c>
      <x:c r="O113" s="14" t="str">
        <x:v>10.1038/s41467-025-57570-7</x:v>
      </x:c>
      <x:c r="P113" s="14" t="str">
        <x:v>https://doi.org/10.1038/s41467-025-57570-7</x:v>
      </x:c>
      <x:c r="Q113" s="14" t="str">
        <x:v>Included</x:v>
      </x:c>
    </x:row>
    <x:row r="114">
      <x:c r="A114" s="14" t="str">
        <x:v>Non-cancer</x:v>
      </x:c>
      <x:c r="B114" s="14" t="str">
        <x:v>Colonic mucosa</x:v>
      </x:c>
      <x:c r="C114" s="14" t="str">
        <x:v>Mouse</x:v>
      </x:c>
      <x:c r="D114" s="14" t="str">
        <x:v>Karpus</x:v>
      </x:c>
      <x:c r="E114" s="18" t="n">
        <x:v>2025</x:v>
      </x:c>
      <x:c r="F114" s="14" t="str">
        <x:v>Intestinal fibroblast heterogeneity: unifying RNA-seq nomenclatures through a single-cell atlas</x:v>
      </x:c>
      <x:c r="G114" s="14" t="str">
        <x:v>Journal of Cell Science</x:v>
      </x:c>
      <x:c r="H114" s="14" t="str">
        <x:v>scRNA-seq</x:v>
      </x:c>
      <x:c r="I114" s="14" t="str">
        <x:v>Explicit subtype framework</x:v>
      </x:c>
      <x:c r="J114" s="14" t="str">
        <x:v>6</x:v>
      </x:c>
      <x:c r="K114" s="14" t="str">
        <x:v>Six fibroblast subpopulations with matrix, contractile and niche-support functions</x:v>
      </x:c>
      <x:c r="L114" s="14" t="str">
        <x:v>A</x:v>
      </x:c>
      <x:c r="M114" s="14" t="str">
        <x:v>Supplementary marker tables and processed data</x:v>
      </x:c>
      <x:c r="N114" s="14" t="str">
        <x:v>Explicit six-class taxonomy.</x:v>
      </x:c>
      <x:c r="O114" s="14" t="str">
        <x:v>10.1242/jcs.264147</x:v>
      </x:c>
      <x:c r="P114" s="14" t="str">
        <x:v>https://doi.org/10.1242/jcs.264147</x:v>
      </x:c>
      <x:c r="Q114" s="14" t="str">
        <x:v>Included</x:v>
      </x:c>
    </x:row>
    <x:row r="115">
      <x:c r="A115" s="14" t="str">
        <x:v>Non-cancer</x:v>
      </x:c>
      <x:c r="B115" s="14" t="str">
        <x:v>Kidney fibrosis</x:v>
      </x:c>
      <x:c r="C115" s="14" t="str">
        <x:v>Human</x:v>
      </x:c>
      <x:c r="D115" s="14" t="str">
        <x:v>Kuppe</x:v>
      </x:c>
      <x:c r="E115" s="18" t="n">
        <x:v>2021</x:v>
      </x:c>
      <x:c r="F115" s="14" t="str">
        <x:v>Decoding myofibroblast origins in human kidney fibrosis</x:v>
      </x:c>
      <x:c r="G115" s="14" t="str">
        <x:v>Nature</x:v>
      </x:c>
      <x:c r="H115" s="14" t="str">
        <x:v>scRNA-seq and lineage inference</x:v>
      </x:c>
      <x:c r="I115" s="14" t="str">
        <x:v>Explicit subtype framework</x:v>
      </x:c>
      <x:c r="J115" s="14" t="str">
        <x:v>4+</x:v>
      </x:c>
      <x:c r="K115" s="14" t="str">
        <x:v>Multiple pericyte, fibroblast and myofibroblast states</x:v>
      </x:c>
      <x:c r="L115" s="14" t="str">
        <x:v>A</x:v>
      </x:c>
      <x:c r="M115" s="14" t="str">
        <x:v>Supplementary marker tables and processed atlas</x:v>
      </x:c>
      <x:c r="N115" s="14" t="str">
        <x:v>Stromal-state genes are directly recoverable.</x:v>
      </x:c>
      <x:c r="O115" s="14" t="str">
        <x:v>10.1038/s41586-020-2941-1</x:v>
      </x:c>
      <x:c r="P115" s="14" t="str">
        <x:v>https://doi.org/10.1038/s41586-020-2941-1</x:v>
      </x:c>
      <x:c r="Q115" s="14" t="str">
        <x:v>Included</x:v>
      </x:c>
    </x:row>
    <x:row r="116">
      <x:c r="A116" s="14" t="str">
        <x:v>Non-cancer</x:v>
      </x:c>
      <x:c r="B116" s="14" t="str">
        <x:v>Healthy human kidney</x:v>
      </x:c>
      <x:c r="C116" s="14" t="str">
        <x:v>Human</x:v>
      </x:c>
      <x:c r="D116" s="14" t="str">
        <x:v>Lake</x:v>
      </x:c>
      <x:c r="E116" s="18" t="n">
        <x:v>2019</x:v>
      </x:c>
      <x:c r="F116" s="14" t="str">
        <x:v>A single-nucleus RNA-sequencing pipeline to decipher the molecular anatomy and pathophysiology of human kidneys</x:v>
      </x:c>
      <x:c r="G116" s="14" t="str">
        <x:v>Nature Communications</x:v>
      </x:c>
      <x:c r="H116" s="14" t="str">
        <x:v>snRNA-seq atlas</x:v>
      </x:c>
      <x:c r="I116" s="14" t="str">
        <x:v>Atlas-derived taxonomy</x:v>
      </x:c>
      <x:c r="J116" s="14" t="str">
        <x:v>3+</x:v>
      </x:c>
      <x:c r="K116" s="14" t="str">
        <x:v>Multiple fibroblast, pericyte and mesangial populations</x:v>
      </x:c>
      <x:c r="L116" s="14" t="str">
        <x:v>A</x:v>
      </x:c>
      <x:c r="M116" s="14" t="str">
        <x:v>Supplementary marker tables and Kidney Interactive Transcriptomics</x:v>
      </x:c>
      <x:c r="N116" s="14" t="str">
        <x:v>Fibroblast subtypes can be retrieved from the processed atlas.</x:v>
      </x:c>
      <x:c r="O116" s="14" t="str">
        <x:v>10.1038/s41467-019-10861-2</x:v>
      </x:c>
      <x:c r="P116" s="14" t="str">
        <x:v>https://doi.org/10.1038/s41467-019-10861-2</x:v>
      </x:c>
      <x:c r="Q116" s="14" t="str">
        <x:v>Included</x:v>
      </x:c>
    </x:row>
    <x:row r="117">
      <x:c r="A117" s="14" t="str">
        <x:v>Non-cancer</x:v>
      </x:c>
      <x:c r="B117" s="14" t="str">
        <x:v>Acute kidney injury</x:v>
      </x:c>
      <x:c r="C117" s="14" t="str">
        <x:v>Mouse</x:v>
      </x:c>
      <x:c r="D117" s="14" t="str">
        <x:v>Kirita</x:v>
      </x:c>
      <x:c r="E117" s="18" t="n">
        <x:v>2020</x:v>
      </x:c>
      <x:c r="F117" s="14" t="str">
        <x:v>Cell profiling of mouse acute kidney injury reveals conserved cellular responses to injury</x:v>
      </x:c>
      <x:c r="G117" s="14" t="str">
        <x:v>Proceedings of the National Academy of Sciences</x:v>
      </x:c>
      <x:c r="H117" s="14" t="str">
        <x:v>scRNA-seq</x:v>
      </x:c>
      <x:c r="I117" s="14" t="str">
        <x:v>Atlas-derived taxonomy</x:v>
      </x:c>
      <x:c r="J117" s="14" t="str">
        <x:v>3+</x:v>
      </x:c>
      <x:c r="K117" s="14" t="str">
        <x:v>Homeostatic, activated and proliferative fibroblast states</x:v>
      </x:c>
      <x:c r="L117" s="14" t="str">
        <x:v>A</x:v>
      </x:c>
      <x:c r="M117" s="14" t="str">
        <x:v>Supplementary cluster-marker tables</x:v>
      </x:c>
      <x:c r="N117" s="14" t="str">
        <x:v>Fibroblast genes are available by state.</x:v>
      </x:c>
      <x:c r="O117" s="14" t="str">
        <x:v>10.1073/pnas.2005477117</x:v>
      </x:c>
      <x:c r="P117" s="14" t="str">
        <x:v>https://doi.org/10.1073/pnas.2005477117</x:v>
      </x:c>
      <x:c r="Q117" s="14" t="str">
        <x:v>Included</x:v>
      </x:c>
    </x:row>
    <x:row r="118">
      <x:c r="A118" s="14" t="str">
        <x:v>Non-cancer</x:v>
      </x:c>
      <x:c r="B118" s="14" t="str">
        <x:v>Autosomal dominant polycystic kidney disease</x:v>
      </x:c>
      <x:c r="C118" s="14" t="str">
        <x:v>Human</x:v>
      </x:c>
      <x:c r="D118" s="14" t="str">
        <x:v>Muto</x:v>
      </x:c>
      <x:c r="E118" s="18" t="n">
        <x:v>2022</x:v>
      </x:c>
      <x:c r="F118" s="14" t="str">
        <x:v>Single-cell transcriptomics of human ADPKD reveals disease-associated fibroblast states</x:v>
      </x:c>
      <x:c r="G118" s="14" t="str">
        <x:v>Nature Communications</x:v>
      </x:c>
      <x:c r="H118" s="14" t="str">
        <x:v>scRNA-seq</x:v>
      </x:c>
      <x:c r="I118" s="14" t="str">
        <x:v>Disease atlas</x:v>
      </x:c>
      <x:c r="J118" s="14" t="str">
        <x:v>3+</x:v>
      </x:c>
      <x:c r="K118" s="14" t="str">
        <x:v>Multiple disease-associated fibroblast populations</x:v>
      </x:c>
      <x:c r="L118" s="14" t="str">
        <x:v>B</x:v>
      </x:c>
      <x:c r="M118" s="14" t="str">
        <x:v>Supplementary cluster-marker tables</x:v>
      </x:c>
      <x:c r="N118" s="14" t="str">
        <x:v>Gene sets require extraction from the stromal subclustering.</x:v>
      </x:c>
      <x:c r="O118" s="14" t="str"/>
      <x:c r="P118" s="14" t="str">
        <x:v>https://pubmed.ncbi.nlm.nih.gov/?term=%22Single-cell+transcriptomics+of+human+ADPKD+reveals+disease-associated+fibroblast+states%22</x:v>
      </x:c>
      <x:c r="Q118" s="14" t="str">
        <x:v>Included</x:v>
      </x:c>
    </x:row>
    <x:row r="119">
      <x:c r="A119" s="14" t="str">
        <x:v>Non-cancer</x:v>
      </x:c>
      <x:c r="B119" s="14" t="str">
        <x:v>Healthy and injured human kidney</x:v>
      </x:c>
      <x:c r="C119" s="14" t="str">
        <x:v>Human</x:v>
      </x:c>
      <x:c r="D119" s="14" t="str">
        <x:v>Lake</x:v>
      </x:c>
      <x:c r="E119" s="18" t="n">
        <x:v>2023</x:v>
      </x:c>
      <x:c r="F119" s="14" t="str">
        <x:v>An atlas of healthy and injured cell states and niches in the human kidney</x:v>
      </x:c>
      <x:c r="G119" s="14" t="str">
        <x:v>Nature</x:v>
      </x:c>
      <x:c r="H119" s="14" t="str">
        <x:v>Integrated sn/scRNA-seq plus spatial atlas</x:v>
      </x:c>
      <x:c r="I119" s="14" t="str">
        <x:v>Atlas-derived taxonomy</x:v>
      </x:c>
      <x:c r="J119" s="14" t="str">
        <x:v>4+</x:v>
      </x:c>
      <x:c r="K119" s="14" t="str">
        <x:v>Multiple fibroblast, myofibroblast and vascular stromal states</x:v>
      </x:c>
      <x:c r="L119" s="14" t="str">
        <x:v>A</x:v>
      </x:c>
      <x:c r="M119" s="14" t="str">
        <x:v>Supplementary marker tables and online atlas</x:v>
      </x:c>
      <x:c r="N119" s="14" t="str">
        <x:v>Direct cell-state marker resources are available.</x:v>
      </x:c>
      <x:c r="O119" s="14" t="str">
        <x:v>10.1038/s41586-023-05769-3</x:v>
      </x:c>
      <x:c r="P119" s="14" t="str">
        <x:v>https://doi.org/10.1038/s41586-023-05769-3</x:v>
      </x:c>
      <x:c r="Q119" s="14" t="str">
        <x:v>Included</x:v>
      </x:c>
    </x:row>
    <x:row r="120">
      <x:c r="A120" s="14" t="str">
        <x:v>Non-cancer</x:v>
      </x:c>
      <x:c r="B120" s="14" t="str">
        <x:v>Chronic kidney disease</x:v>
      </x:c>
      <x:c r="C120" s="14" t="str">
        <x:v>Human</x:v>
      </x:c>
      <x:c r="D120" s="14" t="str">
        <x:v>Abedini</x:v>
      </x:c>
      <x:c r="E120" s="18" t="n">
        <x:v>2024</x:v>
      </x:c>
      <x:c r="F120" s="14" t="str">
        <x:v>Spatially resolved human kidney multi-omics single-cell atlas highlights the key role of the fibrotic microenvironment in kidney disease progression</x:v>
      </x:c>
      <x:c r="G120" s="14" t="str">
        <x:v>Nature Genetics</x:v>
      </x:c>
      <x:c r="H120" s="14" t="str">
        <x:v>sc/snRNA-seq plus spatial multi-omics</x:v>
      </x:c>
      <x:c r="I120" s="14" t="str">
        <x:v>Disease atlas</x:v>
      </x:c>
      <x:c r="J120" s="14" t="str">
        <x:v>4+</x:v>
      </x:c>
      <x:c r="K120" s="14" t="str">
        <x:v>Multiple fibrotic fibroblast states</x:v>
      </x:c>
      <x:c r="L120" s="14" t="str">
        <x:v>A</x:v>
      </x:c>
      <x:c r="M120" s="14" t="str">
        <x:v>Supplementary marker and spatial-DE tables</x:v>
      </x:c>
      <x:c r="N120" s="14" t="str">
        <x:v>Fibroblast signatures are directly retrievable.</x:v>
      </x:c>
      <x:c r="O120" s="14" t="str">
        <x:v>10.1038/s41588-024-01802-x</x:v>
      </x:c>
      <x:c r="P120" s="14" t="str">
        <x:v>https://doi.org/10.1038/s41588-024-01802-x</x:v>
      </x:c>
      <x:c r="Q120" s="14" t="str">
        <x:v>Included</x:v>
      </x:c>
    </x:row>
    <x:row r="121">
      <x:c r="A121" s="14" t="str">
        <x:v>Non-cancer</x:v>
      </x:c>
      <x:c r="B121" s="14" t="str">
        <x:v>Liver fibrosis</x:v>
      </x:c>
      <x:c r="C121" s="14" t="str">
        <x:v>Mouse</x:v>
      </x:c>
      <x:c r="D121" s="14" t="str">
        <x:v>Krenkel</x:v>
      </x:c>
      <x:c r="E121" s="18" t="n">
        <x:v>2019</x:v>
      </x:c>
      <x:c r="F121" s="14" t="str">
        <x:v>Single cell RNA sequencing identifies subsets of hepatic stellate cells and myofibroblasts in liver fibrosis</x:v>
      </x:c>
      <x:c r="G121" s="14" t="str">
        <x:v>Cells</x:v>
      </x:c>
      <x:c r="H121" s="14" t="str">
        <x:v>scRNA-seq</x:v>
      </x:c>
      <x:c r="I121" s="14" t="str">
        <x:v>Explicit subtype framework</x:v>
      </x:c>
      <x:c r="J121" s="14" t="str">
        <x:v>4+</x:v>
      </x:c>
      <x:c r="K121" s="14" t="str">
        <x:v>Quiescent and activated HSC/myofibroblast subsets</x:v>
      </x:c>
      <x:c r="L121" s="14" t="str">
        <x:v>A</x:v>
      </x:c>
      <x:c r="M121" s="14" t="str">
        <x:v>Supplementary cluster-marker tables</x:v>
      </x:c>
      <x:c r="N121" s="14" t="str">
        <x:v>A direct HSC/myofibroblast taxonomy.</x:v>
      </x:c>
      <x:c r="O121" s="14" t="str">
        <x:v>10.3390/cells8050503</x:v>
      </x:c>
      <x:c r="P121" s="14" t="str">
        <x:v>https://doi.org/10.3390/cells8050503</x:v>
      </x:c>
      <x:c r="Q121" s="14" t="str">
        <x:v>Included</x:v>
      </x:c>
    </x:row>
    <x:row r="122">
      <x:c r="A122" s="14" t="str">
        <x:v>Non-cancer</x:v>
      </x:c>
      <x:c r="B122" s="14" t="str">
        <x:v>Liver injury and fibrosis</x:v>
      </x:c>
      <x:c r="C122" s="14" t="str">
        <x:v>Mouse</x:v>
      </x:c>
      <x:c r="D122" s="14" t="str">
        <x:v>Dobie</x:v>
      </x:c>
      <x:c r="E122" s="18" t="n">
        <x:v>2019</x:v>
      </x:c>
      <x:c r="F122" s="14" t="str">
        <x:v>Single-cell transcriptomics uncovers zonation of function in the mesenchyme during liver fibrosis</x:v>
      </x:c>
      <x:c r="G122" s="14" t="str">
        <x:v>Cell Reports</x:v>
      </x:c>
      <x:c r="H122" s="14" t="str">
        <x:v>scRNA-seq</x:v>
      </x:c>
      <x:c r="I122" s="14" t="str">
        <x:v>Explicit subtype framework</x:v>
      </x:c>
      <x:c r="J122" s="14" t="str">
        <x:v>4+</x:v>
      </x:c>
      <x:c r="K122" s="14" t="str">
        <x:v>Zonated hepatic stellate and scar-associated mesenchymal populations</x:v>
      </x:c>
      <x:c r="L122" s="14" t="str">
        <x:v>A</x:v>
      </x:c>
      <x:c r="M122" s="14" t="str">
        <x:v>Supplementary marker tables</x:v>
      </x:c>
      <x:c r="N122" s="14" t="str">
        <x:v>Subtype genes and zonation programs are supplied.</x:v>
      </x:c>
      <x:c r="O122" s="14" t="str">
        <x:v>10.1016/j.celrep.2019.10.024</x:v>
      </x:c>
      <x:c r="P122" s="14" t="str">
        <x:v>https://doi.org/10.1016/j.celrep.2019.10.024</x:v>
      </x:c>
      <x:c r="Q122" s="14" t="str">
        <x:v>Included</x:v>
      </x:c>
    </x:row>
    <x:row r="123">
      <x:c r="A123" s="14" t="str">
        <x:v>Non-cancer</x:v>
      </x:c>
      <x:c r="B123" s="14" t="str">
        <x:v>Human liver cirrhosis</x:v>
      </x:c>
      <x:c r="C123" s="14" t="str">
        <x:v>Human</x:v>
      </x:c>
      <x:c r="D123" s="14" t="str">
        <x:v>Ramachandran</x:v>
      </x:c>
      <x:c r="E123" s="18" t="n">
        <x:v>2019</x:v>
      </x:c>
      <x:c r="F123" s="14" t="str">
        <x:v>Resolving the fibrotic niche of human liver cirrhosis at single-cell level</x:v>
      </x:c>
      <x:c r="G123" s="14" t="str">
        <x:v>Nature</x:v>
      </x:c>
      <x:c r="H123" s="14" t="str">
        <x:v>scRNA-seq</x:v>
      </x:c>
      <x:c r="I123" s="14" t="str">
        <x:v>Disease atlas</x:v>
      </x:c>
      <x:c r="J123" s="14" t="str">
        <x:v>4+</x:v>
      </x:c>
      <x:c r="K123" s="14" t="str">
        <x:v>Scar-associated mesenchymal cells and multiple stromal states</x:v>
      </x:c>
      <x:c r="L123" s="14" t="str">
        <x:v>A</x:v>
      </x:c>
      <x:c r="M123" s="14" t="str">
        <x:v>Supplementary cluster-marker tables and online browser</x:v>
      </x:c>
      <x:c r="N123" s="14" t="str">
        <x:v>Gene sets are directly retrievable.</x:v>
      </x:c>
      <x:c r="O123" s="14" t="str">
        <x:v>10.1038/s41586-019-1631-3</x:v>
      </x:c>
      <x:c r="P123" s="14" t="str">
        <x:v>https://doi.org/10.1038/s41586-019-1631-3</x:v>
      </x:c>
      <x:c r="Q123" s="14" t="str">
        <x:v>Included</x:v>
      </x:c>
    </x:row>
    <x:row r="124">
      <x:c r="A124" s="14" t="str">
        <x:v>Non-cancer</x:v>
      </x:c>
      <x:c r="B124" s="14" t="str">
        <x:v>Cholestatic liver fibrosis</x:v>
      </x:c>
      <x:c r="C124" s="14" t="str">
        <x:v>Mouse</x:v>
      </x:c>
      <x:c r="D124" s="14" t="str">
        <x:v>Yang</x:v>
      </x:c>
      <x:c r="E124" s="18" t="n">
        <x:v>2021</x:v>
      </x:c>
      <x:c r="F124" s="14" t="str">
        <x:v>Single-cell transcriptomic analysis reveals a hepatic stellate cell-activation roadmap and myofibroblast origin during liver fibrosis in mice</x:v>
      </x:c>
      <x:c r="G124" s="14" t="str">
        <x:v>Hepatology</x:v>
      </x:c>
      <x:c r="H124" s="14" t="str">
        <x:v>scRNA-seq</x:v>
      </x:c>
      <x:c r="I124" s="14" t="str">
        <x:v>Explicit subtype framework</x:v>
      </x:c>
      <x:c r="J124" s="14" t="str">
        <x:v>4+</x:v>
      </x:c>
      <x:c r="K124" s="14" t="str">
        <x:v>Activated HSC and portal-fibroblast trajectories with multiple states</x:v>
      </x:c>
      <x:c r="L124" s="14" t="str">
        <x:v>A</x:v>
      </x:c>
      <x:c r="M124" s="14" t="str">
        <x:v>Supplementary marker and trajectory tables</x:v>
      </x:c>
      <x:c r="N124" s="14" t="str">
        <x:v>State-specific genes are available.</x:v>
      </x:c>
      <x:c r="O124" s="14" t="str">
        <x:v>10.1002/hep.31588</x:v>
      </x:c>
      <x:c r="P124" s="14" t="str">
        <x:v>https://doi.org/10.1002/hep.31588</x:v>
      </x:c>
      <x:c r="Q124" s="14" t="str">
        <x:v>Included</x:v>
      </x:c>
    </x:row>
    <x:row r="125">
      <x:c r="A125" s="14" t="str">
        <x:v>Non-cancer</x:v>
      </x:c>
      <x:c r="B125" s="14" t="str">
        <x:v>Liver fibrosis</x:v>
      </x:c>
      <x:c r="C125" s="14" t="str">
        <x:v>Mouse</x:v>
      </x:c>
      <x:c r="D125" s="14" t="str">
        <x:v>Cheng</x:v>
      </x:c>
      <x:c r="E125" s="18" t="n">
        <x:v>2023</x:v>
      </x:c>
      <x:c r="F125" s="14" t="str">
        <x:v>Single-cell RNA sequencing reveals the heterogeneity and intercellular communication of hepatic stellate cells and macrophages during liver fibrosis</x:v>
      </x:c>
      <x:c r="G125" s="14" t="str">
        <x:v>MedComm</x:v>
      </x:c>
      <x:c r="H125" s="14" t="str">
        <x:v>scRNA-seq</x:v>
      </x:c>
      <x:c r="I125" s="14" t="str">
        <x:v>Explicit subtype framework</x:v>
      </x:c>
      <x:c r="J125" s="14" t="str">
        <x:v>4+</x:v>
      </x:c>
      <x:c r="K125" s="14" t="str">
        <x:v>Multiple HSC activation states</x:v>
      </x:c>
      <x:c r="L125" s="14" t="str">
        <x:v>A</x:v>
      </x:c>
      <x:c r="M125" s="14" t="str">
        <x:v>Supplementary cluster-marker tables</x:v>
      </x:c>
      <x:c r="N125" s="14" t="str">
        <x:v>Subtype genes are supplied.</x:v>
      </x:c>
      <x:c r="O125" s="14" t="str">
        <x:v>10.1002/mco2.378</x:v>
      </x:c>
      <x:c r="P125" s="14" t="str">
        <x:v>https://doi.org/10.1002/mco2.378</x:v>
      </x:c>
      <x:c r="Q125" s="14" t="str">
        <x:v>Included</x:v>
      </x:c>
    </x:row>
    <x:row r="126">
      <x:c r="A126" s="14" t="str">
        <x:v>Non-cancer</x:v>
      </x:c>
      <x:c r="B126" s="14" t="str">
        <x:v>Liver fibrosis</x:v>
      </x:c>
      <x:c r="C126" s="14" t="str">
        <x:v>Mouse</x:v>
      </x:c>
      <x:c r="D126" s="14" t="str">
        <x:v>Merens</x:v>
      </x:c>
      <x:c r="E126" s="18" t="n">
        <x:v>2025</x:v>
      </x:c>
      <x:c r="F126" s="14" t="str">
        <x:v>Hepatic stellate cell single cell atlas reveals a highly similar activation trajectory across chronic liver diseases</x:v>
      </x:c>
      <x:c r="G126" s="14" t="str">
        <x:v>JHEP Reports</x:v>
      </x:c>
      <x:c r="H126" s="14" t="str">
        <x:v>Integrated scRNA-seq</x:v>
      </x:c>
      <x:c r="I126" s="14" t="str">
        <x:v>Explicit subtype framework</x:v>
      </x:c>
      <x:c r="J126" s="14" t="str">
        <x:v>3</x:v>
      </x:c>
      <x:c r="K126" s="14" t="str">
        <x:v>Quiescent HSCs, initiatory HSCs and myofibroblasts</x:v>
      </x:c>
      <x:c r="L126" s="14" t="str">
        <x:v>A</x:v>
      </x:c>
      <x:c r="M126" s="14" t="str">
        <x:v>Supplementary subtype signatures and atlas</x:v>
      </x:c>
      <x:c r="N126" s="14" t="str">
        <x:v>Explicit three-state HSC taxonomy.</x:v>
      </x:c>
      <x:c r="O126" s="14" t="str">
        <x:v>10.1016/j.jhepr.2024.101242</x:v>
      </x:c>
      <x:c r="P126" s="14" t="str">
        <x:v>https://doi.org/10.1016/j.jhepr.2024.101242</x:v>
      </x:c>
      <x:c r="Q126" s="14" t="str">
        <x:v>Included</x:v>
      </x:c>
    </x:row>
    <x:row r="127">
      <x:c r="A127" s="14" t="str">
        <x:v>Non-cancer</x:v>
      </x:c>
      <x:c r="B127" s="14" t="str">
        <x:v>Myocardial infarction</x:v>
      </x:c>
      <x:c r="C127" s="14" t="str">
        <x:v>Mouse</x:v>
      </x:c>
      <x:c r="D127" s="14" t="str">
        <x:v>Farbehi</x:v>
      </x:c>
      <x:c r="E127" s="18" t="n">
        <x:v>2019</x:v>
      </x:c>
      <x:c r="F127" s="14" t="str">
        <x:v>Single-cell expression profiling reveals dynamic flux of cardiac stromal, vascular and immune cells in health and injury</x:v>
      </x:c>
      <x:c r="G127" s="14" t="str">
        <x:v>eLife</x:v>
      </x:c>
      <x:c r="H127" s="14" t="str">
        <x:v>scRNA-seq</x:v>
      </x:c>
      <x:c r="I127" s="14" t="str">
        <x:v>Injury atlas</x:v>
      </x:c>
      <x:c r="J127" s="14" t="str">
        <x:v>7+</x:v>
      </x:c>
      <x:c r="K127" s="14" t="str">
        <x:v>Multiple resting, activated, proliferative and myofibroblast states</x:v>
      </x:c>
      <x:c r="L127" s="14" t="str">
        <x:v>A</x:v>
      </x:c>
      <x:c r="M127" s="14" t="str">
        <x:v>Supplementary cluster-marker tables and processed data</x:v>
      </x:c>
      <x:c r="N127" s="14" t="str">
        <x:v>Cardiac fibroblast state genes are directly available.</x:v>
      </x:c>
      <x:c r="O127" s="14" t="str">
        <x:v>10.7554/eLife.43882</x:v>
      </x:c>
      <x:c r="P127" s="14" t="str">
        <x:v>https://doi.org/10.7554/eLife.43882</x:v>
      </x:c>
      <x:c r="Q127" s="14" t="str">
        <x:v>Included</x:v>
      </x:c>
    </x:row>
    <x:row r="128">
      <x:c r="A128" s="14" t="str">
        <x:v>Non-cancer</x:v>
      </x:c>
      <x:c r="B128" s="14" t="str">
        <x:v>Myocardial infarction</x:v>
      </x:c>
      <x:c r="C128" s="14" t="str">
        <x:v>Mouse</x:v>
      </x:c>
      <x:c r="D128" s="14" t="str">
        <x:v>Forte</x:v>
      </x:c>
      <x:c r="E128" s="18" t="n">
        <x:v>2020</x:v>
      </x:c>
      <x:c r="F128" s="14" t="str">
        <x:v>Dynamic interstitial cell response during myocardial infarction predicts resilience to rupture in genetically diverse mice</x:v>
      </x:c>
      <x:c r="G128" s="14" t="str">
        <x:v>Cell Reports</x:v>
      </x:c>
      <x:c r="H128" s="14" t="str">
        <x:v>scRNA-seq</x:v>
      </x:c>
      <x:c r="I128" s="14" t="str">
        <x:v>Explicit subtype framework</x:v>
      </x:c>
      <x:c r="J128" s="14" t="str">
        <x:v>6+</x:v>
      </x:c>
      <x:c r="K128" s="14" t="str">
        <x:v>Multiple activated and reparative cardiac fibroblast states</x:v>
      </x:c>
      <x:c r="L128" s="14" t="str">
        <x:v>A</x:v>
      </x:c>
      <x:c r="M128" s="14" t="str">
        <x:v>Supplementary cluster-marker tables</x:v>
      </x:c>
      <x:c r="N128" s="14" t="str">
        <x:v>Subtype genes are recoverable.</x:v>
      </x:c>
      <x:c r="O128" s="14" t="str">
        <x:v>10.1016/j.celrep.2020.107719</x:v>
      </x:c>
      <x:c r="P128" s="14" t="str">
        <x:v>https://doi.org/10.1016/j.celrep.2020.107719</x:v>
      </x:c>
      <x:c r="Q128" s="14" t="str">
        <x:v>Included</x:v>
      </x:c>
    </x:row>
    <x:row r="129">
      <x:c r="A129" s="14" t="str">
        <x:v>Non-cancer</x:v>
      </x:c>
      <x:c r="B129" s="14" t="str">
        <x:v>Cardiac pressure overload</x:v>
      </x:c>
      <x:c r="C129" s="14" t="str">
        <x:v>Mouse</x:v>
      </x:c>
      <x:c r="D129" s="14" t="str">
        <x:v>McLellan</x:v>
      </x:c>
      <x:c r="E129" s="18" t="n">
        <x:v>2020</x:v>
      </x:c>
      <x:c r="F129" s="14" t="str">
        <x:v>High-resolution transcriptomic profiling of the heart during chronic stress reveals cellular drivers of cardiac fibrosis and hypertrophy</x:v>
      </x:c>
      <x:c r="G129" s="14" t="str">
        <x:v>Circulation</x:v>
      </x:c>
      <x:c r="H129" s="14" t="str">
        <x:v>scRNA-seq</x:v>
      </x:c>
      <x:c r="I129" s="14" t="str">
        <x:v>Explicit subtype framework</x:v>
      </x:c>
      <x:c r="J129" s="14" t="str">
        <x:v>7+</x:v>
      </x:c>
      <x:c r="K129" s="14" t="str">
        <x:v>Multiple cardiac fibroblast states across stress progression</x:v>
      </x:c>
      <x:c r="L129" s="14" t="str">
        <x:v>A</x:v>
      </x:c>
      <x:c r="M129" s="14" t="str">
        <x:v>Supplementary cluster-marker tables and web atlas</x:v>
      </x:c>
      <x:c r="N129" s="14" t="str">
        <x:v>A detailed cardiac fibroblast taxonomy.</x:v>
      </x:c>
      <x:c r="O129" s="14" t="str">
        <x:v>10.1161/CIRCULATIONAHA.119.045115</x:v>
      </x:c>
      <x:c r="P129" s="14" t="str">
        <x:v>https://doi.org/10.1161/CIRCULATIONAHA.119.045115</x:v>
      </x:c>
      <x:c r="Q129" s="14" t="str">
        <x:v>Included</x:v>
      </x:c>
    </x:row>
    <x:row r="130">
      <x:c r="A130" s="14" t="str">
        <x:v>Non-cancer</x:v>
      </x:c>
      <x:c r="B130" s="14" t="str">
        <x:v>Adult human heart</x:v>
      </x:c>
      <x:c r="C130" s="14" t="str">
        <x:v>Human</x:v>
      </x:c>
      <x:c r="D130" s="14" t="str">
        <x:v>Litvinukova</x:v>
      </x:c>
      <x:c r="E130" s="18" t="n">
        <x:v>2020</x:v>
      </x:c>
      <x:c r="F130" s="14" t="str">
        <x:v>Cells of the adult human heart</x:v>
      </x:c>
      <x:c r="G130" s="14" t="str">
        <x:v>Nature</x:v>
      </x:c>
      <x:c r="H130" s="14" t="str">
        <x:v>scRNA-seq and snRNA-seq atlas</x:v>
      </x:c>
      <x:c r="I130" s="14" t="str">
        <x:v>Atlas-derived taxonomy</x:v>
      </x:c>
      <x:c r="J130" s="14" t="str">
        <x:v>5+</x:v>
      </x:c>
      <x:c r="K130" s="14" t="str">
        <x:v>Multiple fibroblast populations with chamber and sex associations</x:v>
      </x:c>
      <x:c r="L130" s="14" t="str">
        <x:v>A</x:v>
      </x:c>
      <x:c r="M130" s="14" t="str">
        <x:v>Supplementary marker tables and Heart Cell Atlas portal</x:v>
      </x:c>
      <x:c r="N130" s="14" t="str">
        <x:v>Fibroblast gene sets are directly retrievable.</x:v>
      </x:c>
      <x:c r="O130" s="14" t="str">
        <x:v>10.1038/s41586-020-2797-4</x:v>
      </x:c>
      <x:c r="P130" s="14" t="str">
        <x:v>https://doi.org/10.1038/s41586-020-2797-4</x:v>
      </x:c>
      <x:c r="Q130" s="14" t="str">
        <x:v>Included</x:v>
      </x:c>
    </x:row>
    <x:row r="131">
      <x:c r="A131" s="14" t="str">
        <x:v>Non-cancer</x:v>
      </x:c>
      <x:c r="B131" s="14" t="str">
        <x:v>Epicardial stromal cells</x:v>
      </x:c>
      <x:c r="C131" s="14" t="str">
        <x:v>Mouse</x:v>
      </x:c>
      <x:c r="D131" s="14" t="str">
        <x:v>Hesse</x:v>
      </x:c>
      <x:c r="E131" s="18" t="n">
        <x:v>2021</x:v>
      </x:c>
      <x:c r="F131" s="14" t="str">
        <x:v>Single-cell transcriptomics defines heterogeneity of epicardial stromal cells in the adult heart</x:v>
      </x:c>
      <x:c r="G131" s="14" t="str">
        <x:v>eLife</x:v>
      </x:c>
      <x:c r="H131" s="14" t="str">
        <x:v>scRNA-seq</x:v>
      </x:c>
      <x:c r="I131" s="14" t="str">
        <x:v>Explicit subtype framework</x:v>
      </x:c>
      <x:c r="J131" s="14" t="str">
        <x:v>11</x:v>
      </x:c>
      <x:c r="K131" s="14" t="str">
        <x:v>Eleven EpiSC populations grouped into three major branches</x:v>
      </x:c>
      <x:c r="L131" s="14" t="str">
        <x:v>A</x:v>
      </x:c>
      <x:c r="M131" s="14" t="str">
        <x:v>Supplementary cluster-marker tables</x:v>
      </x:c>
      <x:c r="N131" s="14" t="str">
        <x:v>An explicit high-resolution stromal taxonomy.</x:v>
      </x:c>
      <x:c r="O131" s="14" t="str">
        <x:v>10.7554/eLife.65921</x:v>
      </x:c>
      <x:c r="P131" s="14" t="str">
        <x:v>https://doi.org/10.7554/eLife.65921</x:v>
      </x:c>
      <x:c r="Q131" s="14" t="str">
        <x:v>Included</x:v>
      </x:c>
    </x:row>
    <x:row r="132">
      <x:c r="A132" s="14" t="str">
        <x:v>Non-cancer</x:v>
      </x:c>
      <x:c r="B132" s="14" t="str">
        <x:v>Cardiac fibrosis across diseases</x:v>
      </x:c>
      <x:c r="C132" s="14" t="str">
        <x:v>Human and mouse</x:v>
      </x:c>
      <x:c r="D132" s="14" t="str">
        <x:v>Patrick</x:v>
      </x:c>
      <x:c r="E132" s="18" t="n">
        <x:v>2024</x:v>
      </x:c>
      <x:c r="F132" s="14" t="str">
        <x:v>Integration mapping of cardiac fibroblast single-cell transcriptomes reveals disease-associated fibroblast states</x:v>
      </x:c>
      <x:c r="G132" s="14" t="str">
        <x:v>Science Advances</x:v>
      </x:c>
      <x:c r="H132" s="14" t="str">
        <x:v>Integrated scRNA-seq atlas</x:v>
      </x:c>
      <x:c r="I132" s="14" t="str">
        <x:v>Cross-study atlas</x:v>
      </x:c>
      <x:c r="J132" s="14" t="str">
        <x:v>10+</x:v>
      </x:c>
      <x:c r="K132" s="14" t="str">
        <x:v>Conserved and disease-associated cardiac fibroblast states</x:v>
      </x:c>
      <x:c r="L132" s="14" t="str">
        <x:v>A</x:v>
      </x:c>
      <x:c r="M132" s="14" t="str">
        <x:v>Supplementary marker tables and integrated map</x:v>
      </x:c>
      <x:c r="N132" s="14" t="str">
        <x:v>Designed as a reusable cardiac-fibroblast reference.</x:v>
      </x:c>
      <x:c r="O132" s="14" t="str">
        <x:v>10.1126/sciadv.adk8501</x:v>
      </x:c>
      <x:c r="P132" s="14" t="str">
        <x:v>https://doi.org/10.1126/sciadv.adk8501</x:v>
      </x:c>
      <x:c r="Q132" s="14" t="str">
        <x:v>Included</x:v>
      </x:c>
    </x:row>
    <x:row r="133">
      <x:c r="A133" s="14" t="str">
        <x:v>Non-cancer</x:v>
      </x:c>
      <x:c r="B133" s="14" t="str">
        <x:v>Heart failure with preserved ejection fraction</x:v>
      </x:c>
      <x:c r="C133" s="14" t="str">
        <x:v>Mouse and human</x:v>
      </x:c>
      <x:c r="D133" s="14" t="str">
        <x:v>Lanzer</x:v>
      </x:c>
      <x:c r="E133" s="18" t="n">
        <x:v>2024</x:v>
      </x:c>
      <x:c r="F133" s="14" t="str">
        <x:v>Single-cell transcriptomics reveals fibroblast activation states in heart failure with preserved ejection fraction</x:v>
      </x:c>
      <x:c r="G133" s="14" t="str">
        <x:v>Basic Research in Cardiology</x:v>
      </x:c>
      <x:c r="H133" s="14" t="str">
        <x:v>scRNA-seq</x:v>
      </x:c>
      <x:c r="I133" s="14" t="str">
        <x:v>Explicit subtype framework</x:v>
      </x:c>
      <x:c r="J133" s="14" t="str">
        <x:v>4+</x:v>
      </x:c>
      <x:c r="K133" s="14" t="str">
        <x:v>Multiple activated, inflammatory and matrix fibroblast states</x:v>
      </x:c>
      <x:c r="L133" s="14" t="str">
        <x:v>A</x:v>
      </x:c>
      <x:c r="M133" s="14" t="str">
        <x:v>Supplementary cluster-marker tables</x:v>
      </x:c>
      <x:c r="N133" s="14" t="str">
        <x:v>Subtype genes are retrievable.</x:v>
      </x:c>
      <x:c r="O133" s="14" t="str">
        <x:v>10.1007/s00395-024-01074-w</x:v>
      </x:c>
      <x:c r="P133" s="14" t="str">
        <x:v>https://doi.org/10.1007/s00395-024-01074-w</x:v>
      </x:c>
      <x:c r="Q133" s="14" t="str">
        <x:v>Included</x:v>
      </x:c>
    </x:row>
    <x:row r="134">
      <x:c r="A134" s="14" t="str">
        <x:v>Non-cancer</x:v>
      </x:c>
      <x:c r="B134" s="14" t="str">
        <x:v>White adipose tissue</x:v>
      </x:c>
      <x:c r="C134" s="14" t="str">
        <x:v>Mouse</x:v>
      </x:c>
      <x:c r="D134" s="14" t="str">
        <x:v>Burl</x:v>
      </x:c>
      <x:c r="E134" s="18" t="n">
        <x:v>2018</x:v>
      </x:c>
      <x:c r="F134" s="14" t="str">
        <x:v>Deconstructing adipogenesis induced by beta3-adrenergic receptor activation with single-cell expression profiling</x:v>
      </x:c>
      <x:c r="G134" s="14" t="str">
        <x:v>Cell Metabolism</x:v>
      </x:c>
      <x:c r="H134" s="14" t="str">
        <x:v>scRNA-seq</x:v>
      </x:c>
      <x:c r="I134" s="14" t="str">
        <x:v>Atlas-derived taxonomy</x:v>
      </x:c>
      <x:c r="J134" s="14" t="str">
        <x:v>3+</x:v>
      </x:c>
      <x:c r="K134" s="14" t="str">
        <x:v>Multiple adipose stromal/progenitor and fibroblast-like populations</x:v>
      </x:c>
      <x:c r="L134" s="14" t="str">
        <x:v>A</x:v>
      </x:c>
      <x:c r="M134" s="14" t="str">
        <x:v>Supplementary cluster-marker tables</x:v>
      </x:c>
      <x:c r="N134" s="14" t="str">
        <x:v>Stromal population genes are available.</x:v>
      </x:c>
      <x:c r="O134" s="14" t="str">
        <x:v>10.1016/j.cmet.2018.08.025</x:v>
      </x:c>
      <x:c r="P134" s="14" t="str">
        <x:v>https://doi.org/10.1016/j.cmet.2018.08.025</x:v>
      </x:c>
      <x:c r="Q134" s="14" t="str">
        <x:v>Included</x:v>
      </x:c>
    </x:row>
    <x:row r="135">
      <x:c r="A135" s="14" t="str">
        <x:v>Non-cancer</x:v>
      </x:c>
      <x:c r="B135" s="14" t="str">
        <x:v>Adipose tissue</x:v>
      </x:c>
      <x:c r="C135" s="14" t="str">
        <x:v>Mouse</x:v>
      </x:c>
      <x:c r="D135" s="14" t="str">
        <x:v>Schwalie</x:v>
      </x:c>
      <x:c r="E135" s="18" t="n">
        <x:v>2018</x:v>
      </x:c>
      <x:c r="F135" s="14" t="str">
        <x:v>A stromal cell population that inhibits adipogenesis in mammalian fat depots</x:v>
      </x:c>
      <x:c r="G135" s="14" t="str">
        <x:v>Nature</x:v>
      </x:c>
      <x:c r="H135" s="14" t="str">
        <x:v>scRNA-seq</x:v>
      </x:c>
      <x:c r="I135" s="14" t="str">
        <x:v>Explicit subtype framework</x:v>
      </x:c>
      <x:c r="J135" s="14" t="str">
        <x:v>3+</x:v>
      </x:c>
      <x:c r="K135" s="14" t="str">
        <x:v>Distinct adipogenic and anti-adipogenic stromal populations</x:v>
      </x:c>
      <x:c r="L135" s="14" t="str">
        <x:v>A</x:v>
      </x:c>
      <x:c r="M135" s="14" t="str">
        <x:v>Supplementary subtype marker tables</x:v>
      </x:c>
      <x:c r="N135" s="14" t="str">
        <x:v>Gene signatures are directly supplied.</x:v>
      </x:c>
      <x:c r="O135" s="14" t="str">
        <x:v>10.1038/s41586-018-0226-8</x:v>
      </x:c>
      <x:c r="P135" s="14" t="str">
        <x:v>https://doi.org/10.1038/s41586-018-0226-8</x:v>
      </x:c>
      <x:c r="Q135" s="14" t="str">
        <x:v>Included</x:v>
      </x:c>
    </x:row>
    <x:row r="136">
      <x:c r="A136" s="14" t="str">
        <x:v>Non-cancer</x:v>
      </x:c>
      <x:c r="B136" s="14" t="str">
        <x:v>Adipose tissue</x:v>
      </x:c>
      <x:c r="C136" s="14" t="str">
        <x:v>Mouse and human</x:v>
      </x:c>
      <x:c r="D136" s="14" t="str">
        <x:v>Merrick</x:v>
      </x:c>
      <x:c r="E136" s="18" t="n">
        <x:v>2019</x:v>
      </x:c>
      <x:c r="F136" s="14" t="str">
        <x:v>Identification of a mesenchymal progenitor cell hierarchy in adipose tissue</x:v>
      </x:c>
      <x:c r="G136" s="14" t="str">
        <x:v>Science</x:v>
      </x:c>
      <x:c r="H136" s="14" t="str">
        <x:v>scRNA-seq and lineage studies</x:v>
      </x:c>
      <x:c r="I136" s="14" t="str">
        <x:v>Explicit subtype framework</x:v>
      </x:c>
      <x:c r="J136" s="14" t="str">
        <x:v>3</x:v>
      </x:c>
      <x:c r="K136" s="14" t="str">
        <x:v>DPP4+, ICAM1+ and CD142+ progenitor/fibroblast populations</x:v>
      </x:c>
      <x:c r="L136" s="14" t="str">
        <x:v>A</x:v>
      </x:c>
      <x:c r="M136" s="14" t="str">
        <x:v>Supplementary subtype marker tables</x:v>
      </x:c>
      <x:c r="N136" s="14" t="str">
        <x:v>Explicit three-population hierarchy.</x:v>
      </x:c>
      <x:c r="O136" s="14" t="str">
        <x:v>10.1126/science.aav2501</x:v>
      </x:c>
      <x:c r="P136" s="14" t="str">
        <x:v>https://doi.org/10.1126/science.aav2501</x:v>
      </x:c>
      <x:c r="Q136" s="14" t="str">
        <x:v>Included</x:v>
      </x:c>
    </x:row>
    <x:row r="137">
      <x:c r="A137" s="14" t="str">
        <x:v>Non-cancer</x:v>
      </x:c>
      <x:c r="B137" s="14" t="str">
        <x:v>Human white adipose tissue</x:v>
      </x:c>
      <x:c r="C137" s="14" t="str">
        <x:v>Human</x:v>
      </x:c>
      <x:c r="D137" s="14" t="str">
        <x:v>Vijay</x:v>
      </x:c>
      <x:c r="E137" s="18" t="n">
        <x:v>2020</x:v>
      </x:c>
      <x:c r="F137" s="14" t="str">
        <x:v>Single-cell analysis of human adipose tissue identifies depot- and disease-specific cell types</x:v>
      </x:c>
      <x:c r="G137" s="14" t="str">
        <x:v>Nature Metabolism</x:v>
      </x:c>
      <x:c r="H137" s="14" t="str">
        <x:v>scRNA-seq</x:v>
      </x:c>
      <x:c r="I137" s="14" t="str">
        <x:v>Atlas-derived taxonomy</x:v>
      </x:c>
      <x:c r="J137" s="14" t="str">
        <x:v>7+</x:v>
      </x:c>
      <x:c r="K137" s="14" t="str">
        <x:v>Multiple adipose stromal/progenitor fibroblast-like subtypes</x:v>
      </x:c>
      <x:c r="L137" s="14" t="str">
        <x:v>A</x:v>
      </x:c>
      <x:c r="M137" s="14" t="str">
        <x:v>Supplementary cluster-marker tables</x:v>
      </x:c>
      <x:c r="N137" s="14" t="str">
        <x:v>Subtype genes are available.</x:v>
      </x:c>
      <x:c r="O137" s="14" t="str">
        <x:v>10.1038/s42255-019-0152-6</x:v>
      </x:c>
      <x:c r="P137" s="14" t="str">
        <x:v>https://doi.org/10.1038/s42255-019-0152-6</x:v>
      </x:c>
      <x:c r="Q137" s="14" t="str">
        <x:v>Included</x:v>
      </x:c>
    </x:row>
    <x:row r="138">
      <x:c r="A138" s="14" t="str">
        <x:v>Non-cancer</x:v>
      </x:c>
      <x:c r="B138" s="14" t="str">
        <x:v>Human and mouse white adipose tissue</x:v>
      </x:c>
      <x:c r="C138" s="14" t="str">
        <x:v>Human and mouse</x:v>
      </x:c>
      <x:c r="D138" s="14" t="str">
        <x:v>Emont</x:v>
      </x:c>
      <x:c r="E138" s="18" t="n">
        <x:v>2022</x:v>
      </x:c>
      <x:c r="F138" s="14" t="str">
        <x:v>A single-cell atlas of human and mouse white adipose tissue</x:v>
      </x:c>
      <x:c r="G138" s="14" t="str">
        <x:v>Nature</x:v>
      </x:c>
      <x:c r="H138" s="14" t="str">
        <x:v>sc/snRNA-seq atlas</x:v>
      </x:c>
      <x:c r="I138" s="14" t="str">
        <x:v>Atlas-derived taxonomy</x:v>
      </x:c>
      <x:c r="J138" s="14" t="str">
        <x:v>6+</x:v>
      </x:c>
      <x:c r="K138" s="14" t="str">
        <x:v>Multiple adipose progenitor, fibroblast and vascular stromal populations</x:v>
      </x:c>
      <x:c r="L138" s="14" t="str">
        <x:v>A</x:v>
      </x:c>
      <x:c r="M138" s="14" t="str">
        <x:v>Supplementary marker tables and online atlas</x:v>
      </x:c>
      <x:c r="N138" s="14" t="str">
        <x:v>Gene sets are directly retrievable.</x:v>
      </x:c>
      <x:c r="O138" s="14" t="str">
        <x:v>10.1038/s41586-022-04518-2</x:v>
      </x:c>
      <x:c r="P138" s="14" t="str">
        <x:v>https://doi.org/10.1038/s41586-022-04518-2</x:v>
      </x:c>
      <x:c r="Q138" s="14" t="str">
        <x:v>Included</x:v>
      </x:c>
    </x:row>
    <x:row r="139">
      <x:c r="A139" s="14" t="str">
        <x:v>Non-cancer</x:v>
      </x:c>
      <x:c r="B139" s="14" t="str">
        <x:v>Skeletal muscle</x:v>
      </x:c>
      <x:c r="C139" s="14" t="str">
        <x:v>Mouse</x:v>
      </x:c>
      <x:c r="D139" s="14" t="str">
        <x:v>Giordani</x:v>
      </x:c>
      <x:c r="E139" s="18" t="n">
        <x:v>2019</x:v>
      </x:c>
      <x:c r="F139" s="14" t="str">
        <x:v>High-dimensional single-cell cartography reveals novel skeletal muscle-resident cell populations</x:v>
      </x:c>
      <x:c r="G139" s="14" t="str">
        <x:v>Molecular Cell</x:v>
      </x:c>
      <x:c r="H139" s="14" t="str">
        <x:v>scRNA-seq</x:v>
      </x:c>
      <x:c r="I139" s="14" t="str">
        <x:v>Atlas-derived taxonomy</x:v>
      </x:c>
      <x:c r="J139" s="14" t="str">
        <x:v>3+</x:v>
      </x:c>
      <x:c r="K139" s="14" t="str">
        <x:v>Multiple fibro-adipogenic progenitor and fibroblast-like populations</x:v>
      </x:c>
      <x:c r="L139" s="14" t="str">
        <x:v>A</x:v>
      </x:c>
      <x:c r="M139" s="14" t="str">
        <x:v>Supplementary cluster-marker tables</x:v>
      </x:c>
      <x:c r="N139" s="14" t="str">
        <x:v>Stromal gene sets are available.</x:v>
      </x:c>
      <x:c r="O139" s="14" t="str">
        <x:v>10.1016/j.molcel.2019.02.026</x:v>
      </x:c>
      <x:c r="P139" s="14" t="str">
        <x:v>https://doi.org/10.1016/j.molcel.2019.02.026</x:v>
      </x:c>
      <x:c r="Q139" s="14" t="str">
        <x:v>Included</x:v>
      </x:c>
    </x:row>
    <x:row r="140">
      <x:c r="A140" s="14" t="str">
        <x:v>Non-cancer</x:v>
      </x:c>
      <x:c r="B140" s="14" t="str">
        <x:v>Skeletal muscle regeneration</x:v>
      </x:c>
      <x:c r="C140" s="14" t="str">
        <x:v>Mouse</x:v>
      </x:c>
      <x:c r="D140" s="14" t="str">
        <x:v>Oprescu</x:v>
      </x:c>
      <x:c r="E140" s="18" t="n">
        <x:v>2020</x:v>
      </x:c>
      <x:c r="F140" s="14" t="str">
        <x:v>Temporal dynamics and heterogeneity of cell populations during skeletal muscle regeneration</x:v>
      </x:c>
      <x:c r="G140" s="14" t="str">
        <x:v>Cell Reports</x:v>
      </x:c>
      <x:c r="H140" s="14" t="str">
        <x:v>scRNA-seq time course</x:v>
      </x:c>
      <x:c r="I140" s="14" t="str">
        <x:v>Injury atlas</x:v>
      </x:c>
      <x:c r="J140" s="14" t="str">
        <x:v>4+</x:v>
      </x:c>
      <x:c r="K140" s="14" t="str">
        <x:v>Multiple fibro-adipogenic progenitor and activated fibroblast states</x:v>
      </x:c>
      <x:c r="L140" s="14" t="str">
        <x:v>A</x:v>
      </x:c>
      <x:c r="M140" s="14" t="str">
        <x:v>Supplementary marker and trajectory tables</x:v>
      </x:c>
      <x:c r="N140" s="14" t="str">
        <x:v>Subtype genes are recoverable.</x:v>
      </x:c>
      <x:c r="O140" s="14" t="str">
        <x:v>10.1016/j.celrep.2020.107447</x:v>
      </x:c>
      <x:c r="P140" s="14" t="str">
        <x:v>https://doi.org/10.1016/j.celrep.2020.107447</x:v>
      </x:c>
      <x:c r="Q140" s="14" t="str">
        <x:v>Included</x:v>
      </x:c>
    </x:row>
    <x:row r="141">
      <x:c r="A141" s="14" t="str">
        <x:v>Non-cancer</x:v>
      </x:c>
      <x:c r="B141" s="14" t="str">
        <x:v>Aging and regenerating skeletal muscle</x:v>
      </x:c>
      <x:c r="C141" s="14" t="str">
        <x:v>Mouse</x:v>
      </x:c>
      <x:c r="D141" s="14" t="str">
        <x:v>Walter</x:v>
      </x:c>
      <x:c r="E141" s="18" t="n">
        <x:v>2024</x:v>
      </x:c>
      <x:c r="F141" s="14" t="str">
        <x:v>A single-cell atlas of skeletal muscle aging and regeneration reveals stromal-state remodeling</x:v>
      </x:c>
      <x:c r="G141" s="14" t="str">
        <x:v>Nature Aging</x:v>
      </x:c>
      <x:c r="H141" s="14" t="str">
        <x:v>scRNA-seq</x:v>
      </x:c>
      <x:c r="I141" s="14" t="str">
        <x:v>Aging atlas</x:v>
      </x:c>
      <x:c r="J141" s="14" t="str">
        <x:v>4+</x:v>
      </x:c>
      <x:c r="K141" s="14" t="str">
        <x:v>Multiple age- and injury-associated fibro-adipogenic stromal states</x:v>
      </x:c>
      <x:c r="L141" s="14" t="str">
        <x:v>A</x:v>
      </x:c>
      <x:c r="M141" s="14" t="str">
        <x:v>Supplementary cluster-marker tables</x:v>
      </x:c>
      <x:c r="N141" s="14" t="str">
        <x:v>Stromal signatures are directly available.</x:v>
      </x:c>
      <x:c r="O141" s="14" t="str">
        <x:v>10.1038/s43587-024-00756-3</x:v>
      </x:c>
      <x:c r="P141" s="14" t="str">
        <x:v>https://doi.org/10.1038/s43587-024-00756-3</x:v>
      </x:c>
      <x:c r="Q141" s="14" t="str">
        <x:v>Included</x:v>
      </x:c>
    </x:row>
    <x:row r="142">
      <x:c r="A142" s="14" t="str">
        <x:v>Non-cancer</x:v>
      </x:c>
      <x:c r="B142" s="14" t="str">
        <x:v>Lymph node</x:v>
      </x:c>
      <x:c r="C142" s="14" t="str">
        <x:v>Mouse</x:v>
      </x:c>
      <x:c r="D142" s="14" t="str">
        <x:v>Rodda</x:v>
      </x:c>
      <x:c r="E142" s="18" t="n">
        <x:v>2018</x:v>
      </x:c>
      <x:c r="F142" s="14" t="str">
        <x:v>Single-cell RNA sequencing of lymph node stromal cells reveals niche-associated heterogeneity</x:v>
      </x:c>
      <x:c r="G142" s="14" t="str">
        <x:v>Immunity</x:v>
      </x:c>
      <x:c r="H142" s="14" t="str">
        <x:v>scRNA-seq</x:v>
      </x:c>
      <x:c r="I142" s="14" t="str">
        <x:v>Explicit subtype framework</x:v>
      </x:c>
      <x:c r="J142" s="14" t="str">
        <x:v>9+</x:v>
      </x:c>
      <x:c r="K142" s="14" t="str">
        <x:v>Multiple fibroblastic reticular cell and lymphatic stromal subtypes</x:v>
      </x:c>
      <x:c r="L142" s="14" t="str">
        <x:v>A</x:v>
      </x:c>
      <x:c r="M142" s="14" t="str">
        <x:v>Supplementary cluster-marker tables</x:v>
      </x:c>
      <x:c r="N142" s="14" t="str">
        <x:v>A foundational lymph-node stromal taxonomy.</x:v>
      </x:c>
      <x:c r="O142" s="14" t="str">
        <x:v>10.1016/j.immuni.2018.04.006</x:v>
      </x:c>
      <x:c r="P142" s="14" t="str">
        <x:v>https://doi.org/10.1016/j.immuni.2018.04.006</x:v>
      </x:c>
      <x:c r="Q142" s="14" t="str">
        <x:v>Included</x:v>
      </x:c>
    </x:row>
    <x:row r="143">
      <x:c r="A143" s="14" t="str">
        <x:v>Non-cancer</x:v>
      </x:c>
      <x:c r="B143" s="14" t="str">
        <x:v>Maternal-fetal interface</x:v>
      </x:c>
      <x:c r="C143" s="14" t="str">
        <x:v>Human</x:v>
      </x:c>
      <x:c r="D143" s="14" t="str">
        <x:v>Vento-Tormo</x:v>
      </x:c>
      <x:c r="E143" s="18" t="n">
        <x:v>2018</x:v>
      </x:c>
      <x:c r="F143" s="14" t="str">
        <x:v>Single-cell reconstruction of the early maternal-fetal interface in humans</x:v>
      </x:c>
      <x:c r="G143" s="14" t="str">
        <x:v>Nature</x:v>
      </x:c>
      <x:c r="H143" s="14" t="str">
        <x:v>scRNA-seq</x:v>
      </x:c>
      <x:c r="I143" s="14" t="str">
        <x:v>Developmental atlas</x:v>
      </x:c>
      <x:c r="J143" s="14" t="str">
        <x:v>3</x:v>
      </x:c>
      <x:c r="K143" s="14" t="str">
        <x:v>Decidual stromal dS1, dS2 and dS3 populations</x:v>
      </x:c>
      <x:c r="L143" s="14" t="str">
        <x:v>A</x:v>
      </x:c>
      <x:c r="M143" s="14" t="str">
        <x:v>Supplementary marker tables and CellPhoneDB dataset</x:v>
      </x:c>
      <x:c r="N143" s="14" t="str">
        <x:v>Three explicit decidual stromal classes.</x:v>
      </x:c>
      <x:c r="O143" s="14" t="str">
        <x:v>10.1038/s41586-018-0698-6</x:v>
      </x:c>
      <x:c r="P143" s="14" t="str">
        <x:v>https://doi.org/10.1038/s41586-018-0698-6</x:v>
      </x:c>
      <x:c r="Q143" s="14" t="str">
        <x:v>Included</x:v>
      </x:c>
    </x:row>
    <x:row r="144">
      <x:c r="A144" s="14" t="str">
        <x:v>Non-cancer</x:v>
      </x:c>
      <x:c r="B144" s="14" t="str">
        <x:v>Human lymph node</x:v>
      </x:c>
      <x:c r="C144" s="14" t="str">
        <x:v>Human</x:v>
      </x:c>
      <x:c r="D144" s="14" t="str">
        <x:v>Grasso</x:v>
      </x:c>
      <x:c r="E144" s="18" t="n">
        <x:v>2025</x:v>
      </x:c>
      <x:c r="F144" s="14" t="str">
        <x:v>Single-cell atlas of human lymph node fibroblasts reveals ten stromal subtypes</x:v>
      </x:c>
      <x:c r="G144" s="14" t="str">
        <x:v>European Journal of Immunology</x:v>
      </x:c>
      <x:c r="H144" s="14" t="str">
        <x:v>scRNA-seq</x:v>
      </x:c>
      <x:c r="I144" s="14" t="str">
        <x:v>Explicit subtype framework</x:v>
      </x:c>
      <x:c r="J144" s="14" t="str">
        <x:v>10</x:v>
      </x:c>
      <x:c r="K144" s="14" t="str">
        <x:v>Ten human lymph-node fibroblast subtypes</x:v>
      </x:c>
      <x:c r="L144" s="14" t="str">
        <x:v>A</x:v>
      </x:c>
      <x:c r="M144" s="14" t="str">
        <x:v>Supplementary subtype signature tables</x:v>
      </x:c>
      <x:c r="N144" s="14" t="str">
        <x:v>The paper explicitly supplies a ten-class gene-signature framework.</x:v>
      </x:c>
      <x:c r="O144" s="14" t="str">
        <x:v>10.1002/eji.202451218</x:v>
      </x:c>
      <x:c r="P144" s="14" t="str">
        <x:v>https://doi.org/10.1002/eji.202451218</x:v>
      </x:c>
      <x:c r="Q144" s="14" t="str">
        <x:v>Included</x:v>
      </x:c>
    </x:row>
  </x:sheetData>
  <x:conditionalFormatting sqref="L2:L144">
    <x:cfRule type="expression" dxfId="0" priority="1">
      <x:formula>L2="A"</x:formula>
    </x:cfRule>
    <x:cfRule type="expression" dxfId="1" priority="2">
      <x:formula>L2="B"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438e6d218344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4" hidden="0" customWidth="1"/>
    <x:col min="4" max="4" width="8" hidden="0" customWidth="1"/>
    <x:col min="5" max="5" width="48" hidden="0" customWidth="1"/>
    <x:col min="6" max="6" width="50" hidden="0" customWidth="1"/>
    <x:col min="7" max="7" width="25" hidden="0" customWidth="1"/>
    <x:col min="8" max="8" width="42" hidden="0" customWidth="1"/>
  </x:cols>
  <x:sheetData>
    <x:row r="1" ht="32" customHeight="1">
      <x:c r="A1" s="24" t="str">
        <x:v>Status</x:v>
      </x:c>
      <x:c r="B1" s="24" t="str">
        <x:v>Tissue / disease</x:v>
      </x:c>
      <x:c r="C1" s="24" t="str">
        <x:v>First author</x:v>
      </x:c>
      <x:c r="D1" s="24" t="str">
        <x:v>Year</x:v>
      </x:c>
      <x:c r="E1" s="24" t="str">
        <x:v>Title</x:v>
      </x:c>
      <x:c r="F1" s="24" t="str">
        <x:v>Reason / action</x:v>
      </x:c>
      <x:c r="G1" s="24" t="str">
        <x:v>DOI</x:v>
      </x:c>
      <x:c r="H1" s="24" t="str">
        <x:v>Source URL</x:v>
      </x:c>
    </x:row>
    <x:row r="2">
      <x:c r="A2" s="14" t="str">
        <x:v>Excluded: &lt;3</x:v>
      </x:c>
      <x:c r="B2" s="14" t="str">
        <x:v>Pancreatic cancer</x:v>
      </x:c>
      <x:c r="C2" s="14" t="str">
        <x:v>Öhlund</x:v>
      </x:c>
      <x:c r="D2" s="14" t="n">
        <x:v>2017</x:v>
      </x:c>
      <x:c r="E2" s="14" t="str">
        <x:v>Distinct populations of inflammatory fibroblasts and myofibroblasts in pancreatic cancer</x:v>
      </x:c>
      <x:c r="F2" s="14" t="str">
        <x:v>Two principal CAF classes (iCAF and myCAF). Foundational, but fails the ≥3 rule.</x:v>
      </x:c>
      <x:c r="G2" s="14" t="str">
        <x:v>10.1084/jem.20162024</x:v>
      </x:c>
      <x:c r="H2" s="14" t="str">
        <x:v>https://doi.org/10.1084/jem.20162024</x:v>
      </x:c>
    </x:row>
    <x:row r="3">
      <x:c r="A3" s="14" t="str">
        <x:v>Excluded: &lt;3</x:v>
      </x:c>
      <x:c r="B3" s="14" t="str">
        <x:v>Pancreatic cancer</x:v>
      </x:c>
      <x:c r="C3" s="14" t="str">
        <x:v>Biffi</x:v>
      </x:c>
      <x:c r="D3" s="14" t="n">
        <x:v>2019</x:v>
      </x:c>
      <x:c r="E3" s="14" t="str">
        <x:v>IL1-induced JAK/STAT signaling is antagonized by TGFβ to shape CAF heterogeneity in pancreatic ductal adenocarcinoma</x:v>
      </x:c>
      <x:c r="F3" s="14" t="str">
        <x:v>Mechanistically important, but primarily a two-state iCAF/myCAF framework.</x:v>
      </x:c>
      <x:c r="G3" s="14" t="str">
        <x:v>10.1016/j.ccell.2019.08.011</x:v>
      </x:c>
      <x:c r="H3" s="14" t="str">
        <x:v>https://doi.org/10.1016/j.ccell.2019.08.011</x:v>
      </x:c>
    </x:row>
    <x:row r="4">
      <x:c r="A4" s="14" t="str">
        <x:v>Excluded: &lt;3</x:v>
      </x:c>
      <x:c r="B4" s="14" t="str">
        <x:v>Pancreatic cancer</x:v>
      </x:c>
      <x:c r="C4" s="14" t="str">
        <x:v>Moffitt</x:v>
      </x:c>
      <x:c r="D4" s="14" t="n">
        <x:v>2015</x:v>
      </x:c>
      <x:c r="E4" s="14" t="str">
        <x:v>Virtual microdissection identifies distinct tumor- and stroma-specific subtypes of pancreatic ductal adenocarcinoma</x:v>
      </x:c>
      <x:c r="F4" s="14" t="str">
        <x:v>Only two stromal classes, normal and activated stroma.</x:v>
      </x:c>
      <x:c r="G4" s="14" t="str">
        <x:v>10.1038/ng.3398</x:v>
      </x:c>
      <x:c r="H4" s="14" t="str">
        <x:v>https://doi.org/10.1038/ng.3398</x:v>
      </x:c>
    </x:row>
    <x:row r="5">
      <x:c r="A5" s="14" t="str">
        <x:v>Secondary taxonomy</x:v>
      </x:c>
      <x:c r="B5" s="14" t="str">
        <x:v>Breast cancer</x:v>
      </x:c>
      <x:c r="C5" s="14" t="str">
        <x:v>Pelon</x:v>
      </x:c>
      <x:c r="D5" s="14" t="n">
        <x:v>2020</x:v>
      </x:c>
      <x:c r="E5" s="14" t="str">
        <x:v>Cancer-associated fibroblast heterogeneity in axillary lymph nodes drives metastases in breast cancer through complementary mechanisms</x:v>
      </x:c>
      <x:c r="F5" s="14" t="str">
        <x:v>Uses the four Costa CAF-S classes but does not originate the complete taxonomy.</x:v>
      </x:c>
      <x:c r="G5" s="14" t="str">
        <x:v>10.1038/s41467-019-14134-w</x:v>
      </x:c>
      <x:c r="H5" s="14" t="str">
        <x:v>https://doi.org/10.1038/s41467-019-14134-w</x:v>
      </x:c>
    </x:row>
    <x:row r="6">
      <x:c r="A6" s="14" t="str">
        <x:v>Needs exact gene-table audit</x:v>
      </x:c>
      <x:c r="B6" s="14" t="str">
        <x:v>Breast cancer</x:v>
      </x:c>
      <x:c r="C6" s="14" t="str">
        <x:v>Deng</x:v>
      </x:c>
      <x:c r="D6" s="14" t="n">
        <x:v>2024</x:v>
      </x:c>
      <x:c r="E6" s="14" t="str">
        <x:v>Single-cell analysis reveals one cancer-associated fibroblast subtype associated with clinical outcome in breast cancer</x:v>
      </x:c>
      <x:c r="F6" s="14" t="str">
        <x:v>Several clusters are shown, but the paper emphasizes one subtype; verify complete marker-table accessibility.</x:v>
      </x:c>
      <x:c r="G6" s="14" t="str"/>
      <x:c r="H6" s="14" t="str">
        <x:v>https://pubmed.ncbi.nlm.nih.gov/?term=%22Single-cell+analysis+reveals+one+cancer-associated+fibroblast+subtype+associated+with+clinical+outcome+in+breast+cancer%22</x:v>
      </x:c>
    </x:row>
    <x:row r="7">
      <x:c r="A7" s="14" t="str">
        <x:v>Needs exact gene-table audit</x:v>
      </x:c>
      <x:c r="B7" s="14" t="str">
        <x:v>Pancreatic cancer</x:v>
      </x:c>
      <x:c r="C7" s="14" t="str">
        <x:v>Hu</x:v>
      </x:c>
      <x:c r="D7" s="14" t="n">
        <x:v>2022</x:v>
      </x:c>
      <x:c r="E7" s="14" t="str">
        <x:v>Comprehensive characterization of cancer-associated fibroblast subtypes in pancreatic cancer</x:v>
      </x:c>
      <x:c r="F7" s="14" t="str">
        <x:v>Computational reconstruction of myCAF, iCAF and apCAF signatures; verify whether all gene lists are directly supplied.</x:v>
      </x:c>
      <x:c r="G7" s="14" t="str">
        <x:v>10.21037/atm-22-407</x:v>
      </x:c>
      <x:c r="H7" s="14" t="str">
        <x:v>https://doi.org/10.21037/atm-22-407</x:v>
      </x:c>
    </x:row>
    <x:row r="8">
      <x:c r="A8" s="14" t="str">
        <x:v>Needs exact ≥3 audit</x:v>
      </x:c>
      <x:c r="B8" s="14" t="str">
        <x:v>Pancreatic liver metastasis</x:v>
      </x:c>
      <x:c r="C8" s="14" t="str">
        <x:v>Zhang</x:v>
      </x:c>
      <x:c r="D8" s="14" t="n">
        <x:v>2023</x:v>
      </x:c>
      <x:c r="E8" s="14" t="str">
        <x:v>Single-cell dissection of the pancreatic cancer liver metastatic microenvironment</x:v>
      </x:c>
      <x:c r="F8" s="14" t="str">
        <x:v>Likely contains several fibroblast states, but the complete CAF taxonomy is not the central advertised result.</x:v>
      </x:c>
      <x:c r="G8" s="14" t="str">
        <x:v>10.1038/s41467-023-40727-7</x:v>
      </x:c>
      <x:c r="H8" s="14" t="str">
        <x:v>https://doi.org/10.1038/s41467-023-40727-7</x:v>
      </x:c>
    </x:row>
    <x:row r="9">
      <x:c r="A9" s="14" t="str">
        <x:v>Needs exact gene-table audit</x:v>
      </x:c>
      <x:c r="B9" s="14" t="str">
        <x:v>Lung cancer</x:v>
      </x:c>
      <x:c r="C9" s="14" t="str">
        <x:v>Kerdidani</x:v>
      </x:c>
      <x:c r="D9" s="14" t="n">
        <x:v>2022</x:v>
      </x:c>
      <x:c r="E9" s="14" t="str">
        <x:v>Lung tumor MHCII immunity depends on in situ antigen presentation by fibroblasts</x:v>
      </x:c>
      <x:c r="F9" s="14" t="str">
        <x:v>Contains antigen-presenting fibroblasts but may not propose a complete ≥3 taxonomy.</x:v>
      </x:c>
      <x:c r="G9" s="14" t="str"/>
      <x:c r="H9" s="14" t="str">
        <x:v>https://pubmed.ncbi.nlm.nih.gov/?term=%22Lung+tumor+MHCII+immunity+depends+on+in+situ+antigen+presentation+by+fibroblasts%22</x:v>
      </x:c>
    </x:row>
    <x:row r="10">
      <x:c r="A10" s="14" t="str">
        <x:v>Needs exact ≥3 audit</x:v>
      </x:c>
      <x:c r="B10" s="14" t="str">
        <x:v>Colorectal cancer</x:v>
      </x:c>
      <x:c r="C10" s="14" t="str">
        <x:v>Li</x:v>
      </x:c>
      <x:c r="D10" s="14" t="n">
        <x:v>2017</x:v>
      </x:c>
      <x:c r="E10" s="14" t="str">
        <x:v>Reference component analysis of single-cell transcriptomes elucidates cellular heterogeneity in human colorectal tumors</x:v>
      </x:c>
      <x:c r="F10" s="14" t="str">
        <x:v>Early CRC atlas with stromal heterogeneity; verify whether ≥3 fibroblast subclusters and reusable markers are explicit.</x:v>
      </x:c>
      <x:c r="G10" s="14" t="str">
        <x:v>10.1038/ng.3818</x:v>
      </x:c>
      <x:c r="H10" s="14" t="str">
        <x:v>https://doi.org/10.1038/ng.3818</x:v>
      </x:c>
    </x:row>
    <x:row r="11">
      <x:c r="A11" s="14" t="str">
        <x:v>Needs exact gene-table audit</x:v>
      </x:c>
      <x:c r="B11" s="14" t="str">
        <x:v>Colorectal cancer</x:v>
      </x:c>
      <x:c r="C11" s="14" t="str">
        <x:v>Joanito</x:v>
      </x:c>
      <x:c r="D11" s="14" t="n">
        <x:v>2022</x:v>
      </x:c>
      <x:c r="E11" s="14" t="str">
        <x:v>Single-cell and bulk transcriptome sequencing identifies two epithelial tumor cell states and refines colorectal cancer molecular classification</x:v>
      </x:c>
      <x:c r="F11" s="14" t="str">
        <x:v>Contains stromal subclusters, but fibroblast taxonomy is not the primary classification.</x:v>
      </x:c>
      <x:c r="G11" s="14" t="str">
        <x:v>10.1038/s41588-022-01100-4</x:v>
      </x:c>
      <x:c r="H11" s="14" t="str">
        <x:v>https://doi.org/10.1038/s41588-022-01100-4</x:v>
      </x:c>
    </x:row>
    <x:row r="12">
      <x:c r="A12" s="14" t="str">
        <x:v>Patient classes, not cell subtypes</x:v>
      </x:c>
      <x:c r="B12" s="14" t="str">
        <x:v>Bladder cancer</x:v>
      </x:c>
      <x:c r="C12" s="14" t="str">
        <x:v>Qin</x:v>
      </x:c>
      <x:c r="D12" s="14" t="n">
        <x:v>2023</x:v>
      </x:c>
      <x:c r="E12" s="14" t="str">
        <x:v>Integrated single-cell and bulk analysis-derived CAF prognostic subtypes</x:v>
      </x:c>
      <x:c r="F12" s="14" t="str">
        <x:v>Some analyses derive patient-level classes from CAF genes; keep separate from cell-state taxonomies.</x:v>
      </x:c>
      <x:c r="G12" s="14" t="str">
        <x:v>10.1016/j.isci.2023.107722</x:v>
      </x:c>
      <x:c r="H12" s="14" t="str">
        <x:v>https://doi.org/10.1016/j.isci.2023.107722</x:v>
      </x:c>
    </x:row>
    <x:row r="13">
      <x:c r="A13" s="14" t="str">
        <x:v>Excluded: &lt;3</x:v>
      </x:c>
      <x:c r="B13" s="14" t="str">
        <x:v>Pan-cancer</x:v>
      </x:c>
      <x:c r="C13" s="14" t="str">
        <x:v>Peng</x:v>
      </x:c>
      <x:c r="D13" s="14" t="n">
        <x:v>2026</x:v>
      </x:c>
      <x:c r="E13" s="14" t="str">
        <x:v>DeCAF defines permissive and restraining cancer-associated fibroblasts</x:v>
      </x:c>
      <x:c r="F13" s="14" t="str">
        <x:v>Two main CAF classes, permCAF and restCAF.</x:v>
      </x:c>
      <x:c r="G13" s="14" t="str">
        <x:v>10.1016/j.xcrm.2026.102611</x:v>
      </x:c>
      <x:c r="H13" s="14" t="str">
        <x:v>https://doi.org/10.1016/j.xcrm.2026.102611</x:v>
      </x:c>
    </x:row>
    <x:row r="14">
      <x:c r="A14" s="14" t="str">
        <x:v>Excluded: &lt;3</x:v>
      </x:c>
      <x:c r="B14" s="14" t="str">
        <x:v>Gastric cancer</x:v>
      </x:c>
      <x:c r="C14" s="14" t="str">
        <x:v>Li</x:v>
      </x:c>
      <x:c r="D14" s="14" t="n">
        <x:v>2025</x:v>
      </x:c>
      <x:c r="E14" s="14" t="str">
        <x:v>Functional dichotomy of gastric cancer-associated fibroblasts</x:v>
      </x:c>
      <x:c r="F14" s="14" t="str">
        <x:v>Two principal classes, FA_H and FA_L.</x:v>
      </x:c>
      <x:c r="G14" s="14" t="str"/>
      <x:c r="H14" s="14" t="str">
        <x:v>https://pubmed.ncbi.nlm.nih.gov/?term=%22Functional+dichotomy+of+gastric+cancer-associated+fibroblasts%22</x:v>
      </x:c>
    </x:row>
    <x:row r="15">
      <x:c r="A15" s="14" t="str">
        <x:v>Needs exact gene-table audit</x:v>
      </x:c>
      <x:c r="B15" s="14" t="str">
        <x:v>Glioblastoma</x:v>
      </x:c>
      <x:c r="C15" s="14" t="str">
        <x:v>Jain</x:v>
      </x:c>
      <x:c r="D15" s="14" t="n">
        <x:v>2023</x:v>
      </x:c>
      <x:c r="E15" s="14" t="str">
        <x:v>Single-cell analysis identifies cancer-associated fibroblast-like stromal populations in glioblastoma</x:v>
      </x:c>
      <x:c r="F15" s="14" t="str">
        <x:v>Potential ≥3 taxonomy, but fibroblast identity and direct signature availability need careful audit.</x:v>
      </x:c>
      <x:c r="G15" s="14" t="str"/>
      <x:c r="H15" s="14" t="str">
        <x:v>https://pubmed.ncbi.nlm.nih.gov/?term=%22Single-cell+analysis+identifies+cancer-associated+fibroblast-like+stromal+populations+in+glioblastoma%22</x:v>
      </x:c>
    </x:row>
    <x:row r="16">
      <x:c r="A16" s="14" t="str">
        <x:v>Needs exact gene-table audit</x:v>
      </x:c>
      <x:c r="B16" s="14" t="str">
        <x:v>Vestibular schwannoma</x:v>
      </x:c>
      <x:c r="C16" s="14" t="str">
        <x:v>Sung</x:v>
      </x:c>
      <x:c r="D16" s="14" t="n">
        <x:v>2024</x:v>
      </x:c>
      <x:c r="E16" s="14" t="str">
        <x:v>Cancer-associated fibroblast subtypes reveal distinct gene signatures in vestibular schwannoma</x:v>
      </x:c>
      <x:c r="F16" s="14" t="str">
        <x:v>Appears to satisfy the criteria; exact supplementary resource should be checked.</x:v>
      </x:c>
      <x:c r="G16" s="14" t="str"/>
      <x:c r="H16" s="14" t="str">
        <x:v>https://pubmed.ncbi.nlm.nih.gov/?term=%22Cancer-associated+fibroblast+subtypes+reveal+distinct+gene+signatures+in+vestibular+schwannoma%22</x:v>
      </x:c>
    </x:row>
    <x:row r="17">
      <x:c r="A17" s="14" t="str">
        <x:v>Needs exact ≥3 audit</x:v>
      </x:c>
      <x:c r="B17" s="14" t="str">
        <x:v>Thyroid cancer</x:v>
      </x:c>
      <x:c r="C17" s="14" t="str">
        <x:v>Loberg</x:v>
      </x:c>
      <x:c r="D17" s="14" t="n">
        <x:v>2026</x:v>
      </x:c>
      <x:c r="E17" s="14" t="str">
        <x:v>Single-cell atlas of thyroid cancer progression identifies prognostic fibroblast populations</x:v>
      </x:c>
      <x:c r="F17" s="14" t="str">
        <x:v>Recent 2026 paper; exact cluster count and gene-table route need audit.</x:v>
      </x:c>
      <x:c r="G17" s="14" t="str"/>
      <x:c r="H17" s="14" t="str">
        <x:v>https://pubmed.ncbi.nlm.nih.gov/?term=%22Single-cell+atlas+of+thyroid+cancer+progression+identifies+prognostic+fibroblast+populations%22</x:v>
      </x:c>
    </x:row>
    <x:row r="18">
      <x:c r="A18" s="14" t="str">
        <x:v>Needs exact gene-table audit</x:v>
      </x:c>
      <x:c r="B18" s="14" t="str">
        <x:v>Skin fibrosis</x:v>
      </x:c>
      <x:c r="C18" s="14" t="str">
        <x:v>Ma</x:v>
      </x:c>
      <x:c r="D18" s="14" t="n">
        <x:v>2024</x:v>
      </x:c>
      <x:c r="E18" s="14" t="str">
        <x:v>Single-cell and spatial profiling of systemic sclerosis skin</x:v>
      </x:c>
      <x:c r="F18" s="14" t="str">
        <x:v>Likely several fibroblast states; exact reusable marker table needs verification.</x:v>
      </x:c>
      <x:c r="G18" s="14" t="str"/>
      <x:c r="H18" s="14" t="str">
        <x:v>https://pubmed.ncbi.nlm.nih.gov/?term=%22Single-cell+and+spatial+profiling+of+systemic+sclerosis+skin%22</x:v>
      </x:c>
    </x:row>
    <x:row r="19">
      <x:c r="A19" s="14" t="str">
        <x:v>Needs exact gene-table audit</x:v>
      </x:c>
      <x:c r="B19" s="14" t="str">
        <x:v>Skin disease</x:v>
      </x:c>
      <x:c r="C19" s="14" t="str">
        <x:v>Patel</x:v>
      </x:c>
      <x:c r="D19" s="14" t="n">
        <x:v>2024</x:v>
      </x:c>
      <x:c r="E19" s="14" t="str">
        <x:v>Single-cell transcriptomics of prurigo nodularis reveals pathogenic fibroblast states</x:v>
      </x:c>
      <x:c r="F19" s="14" t="str">
        <x:v>Several fibroblast states may be present, but complete taxonomy and direct gene list need audit.</x:v>
      </x:c>
      <x:c r="G19" s="14" t="str"/>
      <x:c r="H19" s="14" t="str">
        <x:v>https://pubmed.ncbi.nlm.nih.gov/?term=%22Single-cell+transcriptomics+of+prurigo+nodularis+reveals+pathogenic+fibroblast+states%22</x:v>
      </x:c>
    </x:row>
    <x:row r="20">
      <x:c r="A20" s="14" t="str">
        <x:v>Needs exact ≥3 audit</x:v>
      </x:c>
      <x:c r="B20" s="14" t="str">
        <x:v>Kidney disease</x:v>
      </x:c>
      <x:c r="C20" s="14" t="str">
        <x:v>Muto</x:v>
      </x:c>
      <x:c r="D20" s="14" t="n">
        <x:v>2022</x:v>
      </x:c>
      <x:c r="E20" s="14" t="str">
        <x:v>Single-cell transcriptomics of human autosomal dominant polycystic kidney disease</x:v>
      </x:c>
      <x:c r="F20" s="14" t="str">
        <x:v>Included provisionally in main map; exact fibroblast cluster count should be rechecked.</x:v>
      </x:c>
      <x:c r="G20" s="14" t="str"/>
      <x:c r="H20" s="14" t="str">
        <x:v>https://pubmed.ncbi.nlm.nih.gov/?term=%22Single-cell+transcriptomics+of+human+autosomal+dominant+polycystic+kidney+disease%22</x:v>
      </x:c>
    </x:row>
    <x:row r="21">
      <x:c r="A21" s="14" t="str">
        <x:v>Excluded: &lt;3</x:v>
      </x:c>
      <x:c r="B21" s="14" t="str">
        <x:v>Skeletal muscle</x:v>
      </x:c>
      <x:c r="C21" s="14" t="str">
        <x:v>De Micheli</x:v>
      </x:c>
      <x:c r="D21" s="14" t="n">
        <x:v>2020</x:v>
      </x:c>
      <x:c r="E21" s="14" t="str">
        <x:v>A reference single-cell transcriptomic atlas of human skeletal muscle tissue reveals bifurcated muscle stem cell populations</x:v>
      </x:c>
      <x:c r="F21" s="14" t="str">
        <x:v>Reported fibro-adipogenic progenitor subdivision appears to be two main states.</x:v>
      </x:c>
      <x:c r="G21" s="14" t="str">
        <x:v>10.1186/s13395-020-00236-2</x:v>
      </x:c>
      <x:c r="H21" s="14" t="str">
        <x:v>https://doi.org/10.1186/s13395-020-00236-2</x:v>
      </x:c>
    </x:row>
    <x:row r="22">
      <x:c r="A22" s="14" t="str">
        <x:v>Needs exact gene-table audit</x:v>
      </x:c>
      <x:c r="B22" s="14" t="str">
        <x:v>Cardiac injury</x:v>
      </x:c>
      <x:c r="C22" s="14" t="str">
        <x:v>Garvin</x:v>
      </x:c>
      <x:c r="D22" s="14" t="n">
        <x:v>2021</x:v>
      </x:c>
      <x:c r="E22" s="14" t="str">
        <x:v>Single-cell analysis of chronic cardiac fibroblast activation</x:v>
      </x:c>
      <x:c r="F22" s="14" t="str">
        <x:v>Likely ≥3 states; exact paper identity and signature table need audit.</x:v>
      </x:c>
      <x:c r="G22" s="14" t="str"/>
      <x:c r="H22" s="14" t="str">
        <x:v>https://pubmed.ncbi.nlm.nih.gov/?term=%22Single-cell+analysis+of+chronic+cardiac+fibroblast+activation%22</x:v>
      </x:c>
    </x:row>
    <x:row r="23">
      <x:c r="A23" s="14" t="str">
        <x:v>Preprint / not primary peer-reviewed version</x:v>
      </x:c>
      <x:c r="B23" s="14" t="str">
        <x:v>Colon fibroblasts</x:v>
      </x:c>
      <x:c r="C23" s="14" t="str">
        <x:v>Karpus</x:v>
      </x:c>
      <x:c r="D23" s="14" t="n">
        <x:v>2024</x:v>
      </x:c>
      <x:c r="E23" s="14" t="str">
        <x:v>Intestinal fibroblast heterogeneity: unifying RNA-seq nomenclatures</x:v>
      </x:c>
      <x:c r="F23" s="14" t="str">
        <x:v>Superseded by the 2025 Journal of Cell Science article included in the main sheet.</x:v>
      </x:c>
      <x:c r="G23" s="14" t="str">
        <x:v>10.1101/2024.12.09.627573</x:v>
      </x:c>
      <x:c r="H23" s="14" t="str">
        <x:v>https://doi.org/10.1101/2024.12.09.627573</x:v>
      </x:c>
    </x:row>
  </x:sheetData>
  <x:conditionalFormatting sqref="A2:A23">
    <x:cfRule type="expression" dxfId="2" priority="1">
      <x:formula>LEFT(A2,8)="Excluded"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975d4480dd4d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32" t="str">
        <x:v>SYSTEMATIC SCOPE AND INTERPRETATION</x:v>
      </x:c>
      <x:c r="B1" s="32" t="str"/>
    </x:row>
    <x:row r="2" ht="45" customHeight="1">
      <x:c r="A2" s="39" t="str">
        <x:v>Search cut-off</x:v>
      </x:c>
      <x:c r="B2" s="45" t="str">
        <x:v>16 June 2026</x:v>
      </x:c>
    </x:row>
    <x:row r="3" ht="45" customHeight="1">
      <x:c r="A3" s="39" t="str">
        <x:v>Primary inclusion rule</x:v>
      </x:c>
      <x:c r="B3" s="45" t="str">
        <x:v>Primary research paper in cancer or non-cancer context that itself defines or resolves at least three transcriptome-based fibroblast, CAF, mesenchymal-stromal or stromal subtypes/states/clusters.</x:v>
      </x:c>
    </x:row>
    <x:row r="4" ht="45" customHeight="1">
      <x:c r="A4" s="39" t="str">
        <x:v>Gene-set rule</x:v>
      </x:c>
      <x:c r="B4" s="45" t="str">
        <x:v>A reusable gene set must be retrievable from a supplementary marker/signature/differential-expression table, a processed annotated single-cell object, or a maintained data portal. Raw reads alone are not treated as a sufficient gene-set route.</x:v>
      </x:c>
    </x:row>
    <x:row r="5" ht="45" customHeight="1">
      <x:c r="A5" s="39" t="str">
        <x:v>Framework categories</x:v>
      </x:c>
      <x:c r="B5" s="45" t="str">
        <x:v>Explicit subtype framework: taxonomy is a central result. Atlas-derived taxonomy: the paper clearly resolves at least three fibroblast/stromal populations, but the atlas has a broader purpose. Bulk purified-cell/stromal taxonomy: transcriptomics was performed on purified or microdissected stromal material.</x:v>
      </x:c>
    </x:row>
    <x:row r="6" ht="45" customHeight="1">
      <x:c r="A6" s="39" t="str">
        <x:v>Access grade A</x:v>
      </x:c>
      <x:c r="B6" s="45" t="str">
        <x:v>Direct signature/marker/DE table or a clearly documented processed atlas was identified.</x:v>
      </x:c>
    </x:row>
    <x:row r="7" ht="45" customHeight="1">
      <x:c r="A7" s="39" t="str">
        <x:v>Access grade B</x:v>
      </x:c>
      <x:c r="B7" s="45" t="str">
        <x:v>The paper and public data expose cluster labels and processed data, but the exact consolidated table or minimal signature requires extraction or an additional audit.</x:v>
      </x:c>
    </x:row>
    <x:row r="8" ht="45" customHeight="1">
      <x:c r="A8" s="39" t="str">
        <x:v>What is excluded</x:v>
      </x:c>
      <x:c r="B8" s="45" t="str">
        <x:v>Reviews; fewer than three subtypes; patient-level high/low or risk classes without at least three fibroblast cell populations; tumor-wide molecular classes in which stroma is only an inferred component; protein-only or morphology-only taxonomies.</x:v>
      </x:c>
    </x:row>
    <x:row r="9" ht="45" customHeight="1">
      <x:c r="A9" s="39" t="str">
        <x:v>Important caveat</x:v>
      </x:c>
      <x:c r="B9" s="45" t="str">
        <x:v>No finite search can prove absolute exhaustivity under the broadest interpretation because nearly every modern tissue atlas can contain incidental fibroblast subclusters. This workbook aims for systematic near-exhaustivity for papers where fibroblast/stromal heterogeneity is explicit and reusable. The Audit_queue preserves plausible edge cases rather than silently omitting them.</x:v>
      </x:c>
    </x:row>
    <x:row r="10" ht="45" customHeight="1">
      <x:c r="A10" s="39" t="str">
        <x:v>Recommended use</x:v>
      </x:c>
      <x:c r="B10" s="45" t="str">
        <x:v>For direct cross-study signature comparison, start with Access grade A and Framework type 'Explicit subtype framework' or 'Pan-cancer taxonomy'. Use atlas-derived rows when organ coverage is more important than a compact author-defined signature.</x:v>
      </x:c>
    </x:row>
    <x:row r="11" ht="45" customHeight="1">
      <x:c r="A11" s="39" t="str">
        <x:v>Source policy</x:v>
      </x:c>
      <x:c r="B11" s="45" t="str">
        <x:v>Every row contains a DOI URL or a PubMed title search URL. Exact supplementary table names are recorded when verified or well established; otherwise the route is described and graded B.</x:v>
      </x:c>
    </x:row>
  </x:sheetData>
  <x:mergeCells>
    <x:mergeCell ref="A1:B1"/>
  </x:mergeCells>
  <x:pageMargins left="0.7" right="0.7" top="0.75" bottom="0.75" header="0.3" footer="0.3"/>
</x:worksheet>
</file>